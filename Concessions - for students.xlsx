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halini\Desktop\5th Term\Business Insights &amp; Prescriptive Analytics\Excel\"/>
    </mc:Choice>
  </mc:AlternateContent>
  <xr:revisionPtr revIDLastSave="0" documentId="13_ncr:1_{33E96458-3EC4-4096-BE97-C4CF7674EF00}" xr6:coauthVersionLast="47" xr6:coauthVersionMax="47" xr10:uidLastSave="{00000000-0000-0000-0000-000000000000}"/>
  <bookViews>
    <workbookView xWindow="-98" yWindow="-98" windowWidth="21795" windowHeight="12975" tabRatio="726" activeTab="5" xr2:uid="{00000000-000D-0000-FFFF-FFFF00000000}"/>
  </bookViews>
  <sheets>
    <sheet name="Basketball Game Sales" sheetId="1" r:id="rId1"/>
    <sheet name="Fee Schedule" sheetId="4" r:id="rId2"/>
    <sheet name="Calories_NonDistinctItems" sheetId="5" r:id="rId3"/>
    <sheet name="Calories_DistinctItems" sheetId="6" r:id="rId4"/>
    <sheet name="Sheet1" sheetId="7" r:id="rId5"/>
    <sheet name="Sheet2" sheetId="8" r:id="rId6"/>
  </sheets>
  <definedNames>
    <definedName name="_xlnm._FilterDatabase" localSheetId="0" hidden="1">'Basketball Game Sales'!$A$1:$F$200</definedName>
    <definedName name="solver_adj" localSheetId="3" hidden="1">Calories_DistinctItems!$F$4:$S$4</definedName>
    <definedName name="solver_adj" localSheetId="2" hidden="1">Calories_NonDistinctItems!$F$4:$S$4</definedName>
    <definedName name="solver_adj" localSheetId="4" hidden="1">Sheet1!$L$9:$L$22</definedName>
    <definedName name="solver_cvg" localSheetId="3" hidden="1">0.0001</definedName>
    <definedName name="solver_cvg" localSheetId="2" hidden="1">0.0001</definedName>
    <definedName name="solver_cvg" localSheetId="4" hidden="1">0.0001</definedName>
    <definedName name="solver_drv" localSheetId="3" hidden="1">1</definedName>
    <definedName name="solver_drv" localSheetId="2" hidden="1">1</definedName>
    <definedName name="solver_drv" localSheetId="4" hidden="1">1</definedName>
    <definedName name="solver_eng" localSheetId="3" hidden="1">2</definedName>
    <definedName name="solver_eng" localSheetId="2" hidden="1">2</definedName>
    <definedName name="solver_eng" localSheetId="4" hidden="1">1</definedName>
    <definedName name="solver_est" localSheetId="3" hidden="1">1</definedName>
    <definedName name="solver_est" localSheetId="2" hidden="1">1</definedName>
    <definedName name="solver_est" localSheetId="4" hidden="1">1</definedName>
    <definedName name="solver_itr" localSheetId="3" hidden="1">2147483647</definedName>
    <definedName name="solver_itr" localSheetId="2" hidden="1">2147483647</definedName>
    <definedName name="solver_itr" localSheetId="4" hidden="1">2147483647</definedName>
    <definedName name="solver_lhs1" localSheetId="3" hidden="1">Calories_DistinctItems!$F$4:$S$4</definedName>
    <definedName name="solver_lhs1" localSheetId="2" hidden="1">Calories_NonDistinctItems!$F$4:$S$4</definedName>
    <definedName name="solver_lhs1" localSheetId="4" hidden="1">Sheet1!$L$9:$L$22</definedName>
    <definedName name="solver_lhs2" localSheetId="3" hidden="1">Calories_DistinctItems!$S$7</definedName>
    <definedName name="solver_lhs2" localSheetId="2" hidden="1">Calories_NonDistinctItems!$S$7</definedName>
    <definedName name="solver_lhs2" localSheetId="4" hidden="1">Sheet1!$M$10</definedName>
    <definedName name="solver_lhs3" localSheetId="4" hidden="1">Sheet1!$M$23</definedName>
    <definedName name="solver_mip" localSheetId="3" hidden="1">2147483647</definedName>
    <definedName name="solver_mip" localSheetId="2" hidden="1">2147483647</definedName>
    <definedName name="solver_mip" localSheetId="4" hidden="1">2147483647</definedName>
    <definedName name="solver_mni" localSheetId="3" hidden="1">30</definedName>
    <definedName name="solver_mni" localSheetId="2" hidden="1">30</definedName>
    <definedName name="solver_mni" localSheetId="4" hidden="1">30</definedName>
    <definedName name="solver_mrt" localSheetId="3" hidden="1">0.075</definedName>
    <definedName name="solver_mrt" localSheetId="2" hidden="1">0.075</definedName>
    <definedName name="solver_mrt" localSheetId="4" hidden="1">0.075</definedName>
    <definedName name="solver_msl" localSheetId="3" hidden="1">2</definedName>
    <definedName name="solver_msl" localSheetId="2" hidden="1">2</definedName>
    <definedName name="solver_msl" localSheetId="4" hidden="1">2</definedName>
    <definedName name="solver_neg" localSheetId="3" hidden="1">1</definedName>
    <definedName name="solver_neg" localSheetId="2" hidden="1">2</definedName>
    <definedName name="solver_neg" localSheetId="4" hidden="1">1</definedName>
    <definedName name="solver_nod" localSheetId="3" hidden="1">2147483647</definedName>
    <definedName name="solver_nod" localSheetId="2" hidden="1">2147483647</definedName>
    <definedName name="solver_nod" localSheetId="4" hidden="1">2147483647</definedName>
    <definedName name="solver_num" localSheetId="3" hidden="1">2</definedName>
    <definedName name="solver_num" localSheetId="2" hidden="1">2</definedName>
    <definedName name="solver_num" localSheetId="4" hidden="1">3</definedName>
    <definedName name="solver_nwt" localSheetId="3" hidden="1">1</definedName>
    <definedName name="solver_nwt" localSheetId="2" hidden="1">1</definedName>
    <definedName name="solver_nwt" localSheetId="4" hidden="1">1</definedName>
    <definedName name="solver_opt" localSheetId="3" hidden="1">Calories_DistinctItems!$S$9</definedName>
    <definedName name="solver_opt" localSheetId="2" hidden="1">Calories_NonDistinctItems!$S$9</definedName>
    <definedName name="solver_opt" localSheetId="4" hidden="1">Sheet1!$M$23</definedName>
    <definedName name="solver_pre" localSheetId="3" hidden="1">0.000001</definedName>
    <definedName name="solver_pre" localSheetId="2" hidden="1">0.000001</definedName>
    <definedName name="solver_pre" localSheetId="4" hidden="1">0.000001</definedName>
    <definedName name="solver_rbv" localSheetId="3" hidden="1">1</definedName>
    <definedName name="solver_rbv" localSheetId="2" hidden="1">1</definedName>
    <definedName name="solver_rbv" localSheetId="4" hidden="1">1</definedName>
    <definedName name="solver_rel1" localSheetId="3" hidden="1">4</definedName>
    <definedName name="solver_rel1" localSheetId="2" hidden="1">4</definedName>
    <definedName name="solver_rel1" localSheetId="4" hidden="1">4</definedName>
    <definedName name="solver_rel2" localSheetId="3" hidden="1">2</definedName>
    <definedName name="solver_rel2" localSheetId="2" hidden="1">2</definedName>
    <definedName name="solver_rel2" localSheetId="4" hidden="1">2</definedName>
    <definedName name="solver_rel3" localSheetId="4" hidden="1">2</definedName>
    <definedName name="solver_rhs1" localSheetId="3" hidden="1">"integer"</definedName>
    <definedName name="solver_rhs1" localSheetId="2" hidden="1">"integer"</definedName>
    <definedName name="solver_rhs1" localSheetId="4" hidden="1">"integer"</definedName>
    <definedName name="solver_rhs2" localSheetId="3" hidden="1">Calories_DistinctItems!$U$7</definedName>
    <definedName name="solver_rhs2" localSheetId="2" hidden="1">Calories_NonDistinctItems!$U$7</definedName>
    <definedName name="solver_rhs2" localSheetId="4" hidden="1">0</definedName>
    <definedName name="solver_rhs3" localSheetId="4" hidden="1">2400</definedName>
    <definedName name="solver_rlx" localSheetId="3" hidden="1">2</definedName>
    <definedName name="solver_rlx" localSheetId="2" hidden="1">2</definedName>
    <definedName name="solver_rlx" localSheetId="4" hidden="1">2</definedName>
    <definedName name="solver_rsd" localSheetId="3" hidden="1">0</definedName>
    <definedName name="solver_rsd" localSheetId="2" hidden="1">0</definedName>
    <definedName name="solver_rsd" localSheetId="4" hidden="1">0</definedName>
    <definedName name="solver_scl" localSheetId="3" hidden="1">1</definedName>
    <definedName name="solver_scl" localSheetId="2" hidden="1">1</definedName>
    <definedName name="solver_scl" localSheetId="4" hidden="1">1</definedName>
    <definedName name="solver_sho" localSheetId="3" hidden="1">2</definedName>
    <definedName name="solver_sho" localSheetId="2" hidden="1">2</definedName>
    <definedName name="solver_sho" localSheetId="4" hidden="1">2</definedName>
    <definedName name="solver_ssz" localSheetId="3" hidden="1">100</definedName>
    <definedName name="solver_ssz" localSheetId="2" hidden="1">100</definedName>
    <definedName name="solver_ssz" localSheetId="4" hidden="1">100</definedName>
    <definedName name="solver_tim" localSheetId="3" hidden="1">2147483647</definedName>
    <definedName name="solver_tim" localSheetId="2" hidden="1">2147483647</definedName>
    <definedName name="solver_tim" localSheetId="4" hidden="1">2147483647</definedName>
    <definedName name="solver_tol" localSheetId="3" hidden="1">0.01</definedName>
    <definedName name="solver_tol" localSheetId="2" hidden="1">0.01</definedName>
    <definedName name="solver_tol" localSheetId="4" hidden="1">0.01</definedName>
    <definedName name="solver_typ" localSheetId="3" hidden="1">2</definedName>
    <definedName name="solver_typ" localSheetId="2" hidden="1">2</definedName>
    <definedName name="solver_typ" localSheetId="4" hidden="1">1</definedName>
    <definedName name="solver_val" localSheetId="3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2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1" i="7" l="1"/>
  <c r="M10" i="7"/>
  <c r="M11" i="7"/>
  <c r="M12" i="7"/>
  <c r="M13" i="7"/>
  <c r="M14" i="7"/>
  <c r="M15" i="7"/>
  <c r="M16" i="7"/>
  <c r="M17" i="7"/>
  <c r="M18" i="7"/>
  <c r="M19" i="7"/>
  <c r="M20" i="7"/>
  <c r="M22" i="7"/>
  <c r="M9" i="7"/>
  <c r="S7" i="6"/>
  <c r="S9" i="6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G5" i="6"/>
  <c r="H5" i="6"/>
  <c r="I5" i="6"/>
  <c r="J5" i="6"/>
  <c r="K5" i="6"/>
  <c r="L5" i="6"/>
  <c r="M5" i="6"/>
  <c r="N5" i="6"/>
  <c r="O5" i="6"/>
  <c r="P5" i="6"/>
  <c r="Q5" i="6"/>
  <c r="R5" i="6"/>
  <c r="S5" i="6"/>
  <c r="F5" i="6"/>
  <c r="M23" i="7" l="1"/>
  <c r="S9" i="5"/>
  <c r="S7" i="5"/>
  <c r="F3" i="1"/>
  <c r="F4" i="1"/>
  <c r="F5" i="1"/>
  <c r="F6" i="1"/>
  <c r="F7" i="1"/>
  <c r="F150" i="1"/>
  <c r="F9" i="1"/>
  <c r="F10" i="1"/>
  <c r="F11" i="1"/>
  <c r="F12" i="1"/>
  <c r="F13" i="1"/>
  <c r="F14" i="1"/>
  <c r="F84" i="1"/>
  <c r="F16" i="1"/>
  <c r="F17" i="1"/>
  <c r="F18" i="1"/>
  <c r="F19" i="1"/>
  <c r="F20" i="1"/>
  <c r="F21" i="1"/>
  <c r="F22" i="1"/>
  <c r="F23" i="1"/>
  <c r="F24" i="1"/>
  <c r="F25" i="1"/>
  <c r="F26" i="1"/>
  <c r="F8" i="1"/>
  <c r="F28" i="1"/>
  <c r="F29" i="1"/>
  <c r="F30" i="1"/>
  <c r="F89" i="1"/>
  <c r="F32" i="1"/>
  <c r="F33" i="1"/>
  <c r="F156" i="1"/>
  <c r="F35" i="1"/>
  <c r="F36" i="1"/>
  <c r="F37" i="1"/>
  <c r="F38" i="1"/>
  <c r="F39" i="1"/>
  <c r="F40" i="1"/>
  <c r="F164" i="1"/>
  <c r="F42" i="1"/>
  <c r="F43" i="1"/>
  <c r="F44" i="1"/>
  <c r="F45" i="1"/>
  <c r="F46" i="1"/>
  <c r="F47" i="1"/>
  <c r="F15" i="1"/>
  <c r="F49" i="1"/>
  <c r="F50" i="1"/>
  <c r="F51" i="1"/>
  <c r="F52" i="1"/>
  <c r="F53" i="1"/>
  <c r="F54" i="1"/>
  <c r="F55" i="1"/>
  <c r="F91" i="1"/>
  <c r="F57" i="1"/>
  <c r="F58" i="1"/>
  <c r="F59" i="1"/>
  <c r="F60" i="1"/>
  <c r="F61" i="1"/>
  <c r="F62" i="1"/>
  <c r="F63" i="1"/>
  <c r="F64" i="1"/>
  <c r="F65" i="1"/>
  <c r="F66" i="1"/>
  <c r="F166" i="1"/>
  <c r="F68" i="1"/>
  <c r="F69" i="1"/>
  <c r="F70" i="1"/>
  <c r="F169" i="1"/>
  <c r="F72" i="1"/>
  <c r="F73" i="1"/>
  <c r="F74" i="1"/>
  <c r="F75" i="1"/>
  <c r="F76" i="1"/>
  <c r="F77" i="1"/>
  <c r="F78" i="1"/>
  <c r="F79" i="1"/>
  <c r="F80" i="1"/>
  <c r="F175" i="1"/>
  <c r="F82" i="1"/>
  <c r="F83" i="1"/>
  <c r="F27" i="1"/>
  <c r="F85" i="1"/>
  <c r="F86" i="1"/>
  <c r="F87" i="1"/>
  <c r="F88" i="1"/>
  <c r="F98" i="1"/>
  <c r="F90" i="1"/>
  <c r="F103" i="1"/>
  <c r="F92" i="1"/>
  <c r="F93" i="1"/>
  <c r="F94" i="1"/>
  <c r="F95" i="1"/>
  <c r="F96" i="1"/>
  <c r="F97" i="1"/>
  <c r="F111" i="1"/>
  <c r="F99" i="1"/>
  <c r="F100" i="1"/>
  <c r="F101" i="1"/>
  <c r="F102" i="1"/>
  <c r="F31" i="1"/>
  <c r="F104" i="1"/>
  <c r="F105" i="1"/>
  <c r="F106" i="1"/>
  <c r="F107" i="1"/>
  <c r="F108" i="1"/>
  <c r="F109" i="1"/>
  <c r="F110" i="1"/>
  <c r="F34" i="1"/>
  <c r="F112" i="1"/>
  <c r="F113" i="1"/>
  <c r="F114" i="1"/>
  <c r="F115" i="1"/>
  <c r="F116" i="1"/>
  <c r="F117" i="1"/>
  <c r="F118" i="1"/>
  <c r="F41" i="1"/>
  <c r="F120" i="1"/>
  <c r="F121" i="1"/>
  <c r="F122" i="1"/>
  <c r="F123" i="1"/>
  <c r="F48" i="1"/>
  <c r="F125" i="1"/>
  <c r="F126" i="1"/>
  <c r="F119" i="1"/>
  <c r="F128" i="1"/>
  <c r="F129" i="1"/>
  <c r="F130" i="1"/>
  <c r="F131" i="1"/>
  <c r="F176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24" i="1"/>
  <c r="F151" i="1"/>
  <c r="F152" i="1"/>
  <c r="F153" i="1"/>
  <c r="F154" i="1"/>
  <c r="F155" i="1"/>
  <c r="F177" i="1"/>
  <c r="F157" i="1"/>
  <c r="F158" i="1"/>
  <c r="F159" i="1"/>
  <c r="F160" i="1"/>
  <c r="F161" i="1"/>
  <c r="F162" i="1"/>
  <c r="F163" i="1"/>
  <c r="F56" i="1"/>
  <c r="F165" i="1"/>
  <c r="F127" i="1"/>
  <c r="F167" i="1"/>
  <c r="F168" i="1"/>
  <c r="F67" i="1"/>
  <c r="F170" i="1"/>
  <c r="F171" i="1"/>
  <c r="F172" i="1"/>
  <c r="F173" i="1"/>
  <c r="F174" i="1"/>
  <c r="F179" i="1"/>
  <c r="F71" i="1"/>
  <c r="F81" i="1"/>
  <c r="F178" i="1"/>
  <c r="F132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" i="1"/>
</calcChain>
</file>

<file path=xl/sharedStrings.xml><?xml version="1.0" encoding="utf-8"?>
<sst xmlns="http://schemas.openxmlformats.org/spreadsheetml/2006/main" count="508" uniqueCount="32">
  <si>
    <t>Item</t>
  </si>
  <si>
    <t>Category</t>
  </si>
  <si>
    <t>Price</t>
  </si>
  <si>
    <t>Profit</t>
  </si>
  <si>
    <t>Hot Dog</t>
  </si>
  <si>
    <t>Hot Food</t>
  </si>
  <si>
    <t>Nachos</t>
  </si>
  <si>
    <t>Pizza</t>
  </si>
  <si>
    <t>Hamburger</t>
  </si>
  <si>
    <t>Popcorn</t>
  </si>
  <si>
    <t>Beer</t>
  </si>
  <si>
    <t>Soda</t>
  </si>
  <si>
    <t>Bottled Water</t>
  </si>
  <si>
    <t>Licorice Rope</t>
  </si>
  <si>
    <t>Chocolate Bar</t>
  </si>
  <si>
    <t>Gummy Bears</t>
  </si>
  <si>
    <t>Beverages</t>
  </si>
  <si>
    <t>Candy</t>
  </si>
  <si>
    <t>Ice Cream Sandwich</t>
  </si>
  <si>
    <t>Chocolate Dipped Cone</t>
  </si>
  <si>
    <t>Popsicle</t>
  </si>
  <si>
    <t>Frozen Treats</t>
  </si>
  <si>
    <t>Actual Profit</t>
  </si>
  <si>
    <t>Calories</t>
  </si>
  <si>
    <t>Percent</t>
  </si>
  <si>
    <t>Total</t>
  </si>
  <si>
    <t>Total Items</t>
  </si>
  <si>
    <t>=</t>
  </si>
  <si>
    <t>No of items</t>
  </si>
  <si>
    <t>CalVal</t>
  </si>
  <si>
    <t>Total Categories</t>
  </si>
  <si>
    <t>no.ofItems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</si>
</sst>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9" fontId="0" fillId="0" borderId="0" xfId="2" applyFont="1"/>
    <xf numFmtId="164" fontId="0" fillId="0" borderId="0" xfId="1" applyFont="1"/>
    <xf numFmtId="0" fontId="0" fillId="0" borderId="1" xfId="0" applyBorder="1"/>
    <xf numFmtId="164" fontId="0" fillId="0" borderId="0" xfId="0" applyNumberFormat="1"/>
    <xf numFmtId="0" fontId="0" fillId="0" borderId="2" xfId="0" applyBorder="1" applyAlignment="1">
      <alignment horizontal="left"/>
    </xf>
    <xf numFmtId="0" fontId="0" fillId="2" borderId="0" xfId="0" applyFill="1"/>
  </cellXfs>
  <cellStyles count="43">
    <cellStyle name="Currency" xfId="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617AD9-89C7-474A-9375-94A8E64FBC67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927176154936968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opLeftCell="O1" workbookViewId="0">
      <pane ySplit="1" topLeftCell="A2" activePane="bottomLeft" state="frozen"/>
      <selection pane="bottomLeft" activeCell="G201" sqref="G201"/>
    </sheetView>
  </sheetViews>
  <sheetFormatPr defaultColWidth="11" defaultRowHeight="15.75" x14ac:dyDescent="0.5"/>
  <cols>
    <col min="1" max="1" width="20.4375" bestFit="1" customWidth="1"/>
    <col min="5" max="5" width="11.4375" bestFit="1" customWidth="1"/>
    <col min="6" max="6" width="10.9375" customWidth="1"/>
  </cols>
  <sheetData>
    <row r="1" spans="1:6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22</v>
      </c>
      <c r="F1" s="3" t="s">
        <v>23</v>
      </c>
    </row>
    <row r="2" spans="1:6" x14ac:dyDescent="0.5">
      <c r="A2" t="s">
        <v>10</v>
      </c>
      <c r="B2" t="s">
        <v>16</v>
      </c>
      <c r="C2" s="2">
        <v>4</v>
      </c>
      <c r="D2" s="1">
        <v>0.5</v>
      </c>
      <c r="E2" s="4">
        <v>2</v>
      </c>
      <c r="F2" t="e">
        <f>VLOOKUP(A2,#REF!,2,FALSE)</f>
        <v>#REF!</v>
      </c>
    </row>
    <row r="3" spans="1:6" x14ac:dyDescent="0.5">
      <c r="A3" t="s">
        <v>8</v>
      </c>
      <c r="B3" t="s">
        <v>5</v>
      </c>
      <c r="C3" s="2">
        <v>3</v>
      </c>
      <c r="D3" s="1">
        <v>0.66666666666666663</v>
      </c>
      <c r="E3" s="4">
        <v>2</v>
      </c>
      <c r="F3" t="e">
        <f>VLOOKUP(A3,#REF!,2,FALSE)</f>
        <v>#REF!</v>
      </c>
    </row>
    <row r="4" spans="1:6" x14ac:dyDescent="0.5">
      <c r="A4" t="s">
        <v>9</v>
      </c>
      <c r="B4" t="s">
        <v>5</v>
      </c>
      <c r="C4" s="2">
        <v>5</v>
      </c>
      <c r="D4" s="1">
        <v>0.8</v>
      </c>
      <c r="E4" s="4">
        <v>4</v>
      </c>
      <c r="F4" t="e">
        <f>VLOOKUP(A4,#REF!,2,FALSE)</f>
        <v>#REF!</v>
      </c>
    </row>
    <row r="5" spans="1:6" x14ac:dyDescent="0.5">
      <c r="A5" t="s">
        <v>7</v>
      </c>
      <c r="B5" t="s">
        <v>5</v>
      </c>
      <c r="C5" s="2">
        <v>2</v>
      </c>
      <c r="D5" s="1">
        <v>0.25</v>
      </c>
      <c r="E5" s="4">
        <v>0.5</v>
      </c>
      <c r="F5" t="e">
        <f>VLOOKUP(A5,#REF!,2,FALSE)</f>
        <v>#REF!</v>
      </c>
    </row>
    <row r="6" spans="1:6" x14ac:dyDescent="0.5">
      <c r="A6" t="s">
        <v>12</v>
      </c>
      <c r="B6" t="s">
        <v>16</v>
      </c>
      <c r="C6" s="2">
        <v>3</v>
      </c>
      <c r="D6" s="1">
        <v>0.83333333333333337</v>
      </c>
      <c r="E6" s="4">
        <v>2.5</v>
      </c>
      <c r="F6" t="e">
        <f>VLOOKUP(A6,#REF!,2,FALSE)</f>
        <v>#REF!</v>
      </c>
    </row>
    <row r="7" spans="1:6" x14ac:dyDescent="0.5">
      <c r="A7" t="s">
        <v>4</v>
      </c>
      <c r="B7" t="s">
        <v>5</v>
      </c>
      <c r="C7" s="2">
        <v>1.5</v>
      </c>
      <c r="D7" s="1">
        <v>0.66666666666666663</v>
      </c>
      <c r="E7" s="4">
        <v>1</v>
      </c>
      <c r="F7" t="e">
        <f>VLOOKUP(A7,#REF!,2,FALSE)</f>
        <v>#REF!</v>
      </c>
    </row>
    <row r="8" spans="1:6" x14ac:dyDescent="0.5">
      <c r="A8" t="s">
        <v>19</v>
      </c>
      <c r="B8" t="s">
        <v>21</v>
      </c>
      <c r="C8" s="2">
        <v>3</v>
      </c>
      <c r="D8" s="1">
        <v>0.5</v>
      </c>
      <c r="E8" s="4">
        <v>1.5</v>
      </c>
      <c r="F8" t="e">
        <f>VLOOKUP(A8,#REF!,2,FALSE)</f>
        <v>#REF!</v>
      </c>
    </row>
    <row r="9" spans="1:6" x14ac:dyDescent="0.5">
      <c r="A9" t="s">
        <v>11</v>
      </c>
      <c r="B9" t="s">
        <v>16</v>
      </c>
      <c r="C9" s="2">
        <v>2.5</v>
      </c>
      <c r="D9" s="1">
        <v>0.8</v>
      </c>
      <c r="E9" s="4">
        <v>2</v>
      </c>
      <c r="F9" t="e">
        <f>VLOOKUP(A9,#REF!,2,FALSE)</f>
        <v>#REF!</v>
      </c>
    </row>
    <row r="10" spans="1:6" x14ac:dyDescent="0.5">
      <c r="A10" t="s">
        <v>14</v>
      </c>
      <c r="B10" t="s">
        <v>17</v>
      </c>
      <c r="C10" s="2">
        <v>2</v>
      </c>
      <c r="D10" s="1">
        <v>0.75</v>
      </c>
      <c r="E10" s="4">
        <v>1.5</v>
      </c>
      <c r="F10" t="e">
        <f>VLOOKUP(A10,#REF!,2,FALSE)</f>
        <v>#REF!</v>
      </c>
    </row>
    <row r="11" spans="1:6" x14ac:dyDescent="0.5">
      <c r="A11" t="s">
        <v>8</v>
      </c>
      <c r="B11" t="s">
        <v>5</v>
      </c>
      <c r="C11" s="2">
        <v>3</v>
      </c>
      <c r="D11" s="1">
        <v>0.66666666666666663</v>
      </c>
      <c r="E11" s="4">
        <v>2</v>
      </c>
      <c r="F11" t="e">
        <f>VLOOKUP(A11,#REF!,2,FALSE)</f>
        <v>#REF!</v>
      </c>
    </row>
    <row r="12" spans="1:6" x14ac:dyDescent="0.5">
      <c r="A12" t="s">
        <v>10</v>
      </c>
      <c r="B12" t="s">
        <v>16</v>
      </c>
      <c r="C12" s="2">
        <v>4</v>
      </c>
      <c r="D12" s="1">
        <v>0.5</v>
      </c>
      <c r="E12" s="4">
        <v>2</v>
      </c>
      <c r="F12" t="e">
        <f>VLOOKUP(A12,#REF!,2,FALSE)</f>
        <v>#REF!</v>
      </c>
    </row>
    <row r="13" spans="1:6" x14ac:dyDescent="0.5">
      <c r="A13" t="s">
        <v>4</v>
      </c>
      <c r="B13" t="s">
        <v>5</v>
      </c>
      <c r="C13" s="2">
        <v>1.5</v>
      </c>
      <c r="D13" s="1">
        <v>0.66666666666666663</v>
      </c>
      <c r="E13" s="4">
        <v>1</v>
      </c>
      <c r="F13" t="e">
        <f>VLOOKUP(A13,#REF!,2,FALSE)</f>
        <v>#REF!</v>
      </c>
    </row>
    <row r="14" spans="1:6" x14ac:dyDescent="0.5">
      <c r="A14" t="s">
        <v>13</v>
      </c>
      <c r="B14" t="s">
        <v>17</v>
      </c>
      <c r="C14" s="2">
        <v>2</v>
      </c>
      <c r="D14" s="1">
        <v>0.5</v>
      </c>
      <c r="E14" s="4">
        <v>1</v>
      </c>
      <c r="F14" t="e">
        <f>VLOOKUP(A14,#REF!,2,FALSE)</f>
        <v>#REF!</v>
      </c>
    </row>
    <row r="15" spans="1:6" x14ac:dyDescent="0.5">
      <c r="A15" t="s">
        <v>19</v>
      </c>
      <c r="B15" t="s">
        <v>21</v>
      </c>
      <c r="C15" s="2">
        <v>3</v>
      </c>
      <c r="D15" s="1">
        <v>0.5</v>
      </c>
      <c r="E15" s="4">
        <v>1.5</v>
      </c>
      <c r="F15" t="e">
        <f>VLOOKUP(A15,#REF!,2,FALSE)</f>
        <v>#REF!</v>
      </c>
    </row>
    <row r="16" spans="1:6" x14ac:dyDescent="0.5">
      <c r="A16" t="s">
        <v>6</v>
      </c>
      <c r="B16" t="s">
        <v>5</v>
      </c>
      <c r="C16" s="2">
        <v>3</v>
      </c>
      <c r="D16" s="1">
        <v>0.5</v>
      </c>
      <c r="E16" s="4">
        <v>1.5</v>
      </c>
      <c r="F16" t="e">
        <f>VLOOKUP(A16,#REF!,2,FALSE)</f>
        <v>#REF!</v>
      </c>
    </row>
    <row r="17" spans="1:6" x14ac:dyDescent="0.5">
      <c r="A17" t="s">
        <v>7</v>
      </c>
      <c r="B17" t="s">
        <v>5</v>
      </c>
      <c r="C17" s="2">
        <v>2</v>
      </c>
      <c r="D17" s="1">
        <v>0.25</v>
      </c>
      <c r="E17" s="4">
        <v>0.5</v>
      </c>
      <c r="F17" t="e">
        <f>VLOOKUP(A17,#REF!,2,FALSE)</f>
        <v>#REF!</v>
      </c>
    </row>
    <row r="18" spans="1:6" x14ac:dyDescent="0.5">
      <c r="A18" t="s">
        <v>10</v>
      </c>
      <c r="B18" t="s">
        <v>16</v>
      </c>
      <c r="C18" s="2">
        <v>4</v>
      </c>
      <c r="D18" s="1">
        <v>0.5</v>
      </c>
      <c r="E18" s="4">
        <v>2</v>
      </c>
      <c r="F18" t="e">
        <f>VLOOKUP(A18,#REF!,2,FALSE)</f>
        <v>#REF!</v>
      </c>
    </row>
    <row r="19" spans="1:6" x14ac:dyDescent="0.5">
      <c r="A19" t="s">
        <v>11</v>
      </c>
      <c r="B19" t="s">
        <v>16</v>
      </c>
      <c r="C19" s="2">
        <v>2.5</v>
      </c>
      <c r="D19" s="1">
        <v>0.8</v>
      </c>
      <c r="E19" s="4">
        <v>2</v>
      </c>
      <c r="F19" t="e">
        <f>VLOOKUP(A19,#REF!,2,FALSE)</f>
        <v>#REF!</v>
      </c>
    </row>
    <row r="20" spans="1:6" x14ac:dyDescent="0.5">
      <c r="A20" t="s">
        <v>10</v>
      </c>
      <c r="B20" t="s">
        <v>16</v>
      </c>
      <c r="C20" s="2">
        <v>4</v>
      </c>
      <c r="D20" s="1">
        <v>0.5</v>
      </c>
      <c r="E20" s="4">
        <v>2</v>
      </c>
      <c r="F20" t="e">
        <f>VLOOKUP(A20,#REF!,2,FALSE)</f>
        <v>#REF!</v>
      </c>
    </row>
    <row r="21" spans="1:6" x14ac:dyDescent="0.5">
      <c r="A21" t="s">
        <v>8</v>
      </c>
      <c r="B21" t="s">
        <v>5</v>
      </c>
      <c r="C21" s="2">
        <v>3</v>
      </c>
      <c r="D21" s="1">
        <v>0.66666666666666663</v>
      </c>
      <c r="E21" s="4">
        <v>2</v>
      </c>
      <c r="F21" t="e">
        <f>VLOOKUP(A21,#REF!,2,FALSE)</f>
        <v>#REF!</v>
      </c>
    </row>
    <row r="22" spans="1:6" x14ac:dyDescent="0.5">
      <c r="A22" t="s">
        <v>15</v>
      </c>
      <c r="B22" t="s">
        <v>17</v>
      </c>
      <c r="C22" s="2">
        <v>2</v>
      </c>
      <c r="D22" s="1">
        <v>0.5</v>
      </c>
      <c r="E22" s="4">
        <v>1</v>
      </c>
      <c r="F22" t="e">
        <f>VLOOKUP(A22,#REF!,2,FALSE)</f>
        <v>#REF!</v>
      </c>
    </row>
    <row r="23" spans="1:6" x14ac:dyDescent="0.5">
      <c r="A23" t="s">
        <v>9</v>
      </c>
      <c r="B23" t="s">
        <v>5</v>
      </c>
      <c r="C23" s="2">
        <v>5</v>
      </c>
      <c r="D23" s="1">
        <v>0.8</v>
      </c>
      <c r="E23" s="4">
        <v>4</v>
      </c>
      <c r="F23" t="e">
        <f>VLOOKUP(A23,#REF!,2,FALSE)</f>
        <v>#REF!</v>
      </c>
    </row>
    <row r="24" spans="1:6" x14ac:dyDescent="0.5">
      <c r="A24" t="s">
        <v>8</v>
      </c>
      <c r="B24" t="s">
        <v>5</v>
      </c>
      <c r="C24" s="2">
        <v>3</v>
      </c>
      <c r="D24" s="1">
        <v>0.66666666666666663</v>
      </c>
      <c r="E24" s="4">
        <v>2</v>
      </c>
      <c r="F24" t="e">
        <f>VLOOKUP(A24,#REF!,2,FALSE)</f>
        <v>#REF!</v>
      </c>
    </row>
    <row r="25" spans="1:6" x14ac:dyDescent="0.5">
      <c r="A25" t="s">
        <v>6</v>
      </c>
      <c r="B25" t="s">
        <v>5</v>
      </c>
      <c r="C25" s="2">
        <v>3</v>
      </c>
      <c r="D25" s="1">
        <v>0.5</v>
      </c>
      <c r="E25" s="4">
        <v>1.5</v>
      </c>
      <c r="F25" t="e">
        <f>VLOOKUP(A25,#REF!,2,FALSE)</f>
        <v>#REF!</v>
      </c>
    </row>
    <row r="26" spans="1:6" x14ac:dyDescent="0.5">
      <c r="A26" t="s">
        <v>6</v>
      </c>
      <c r="B26" t="s">
        <v>5</v>
      </c>
      <c r="C26" s="2">
        <v>3</v>
      </c>
      <c r="D26" s="1">
        <v>0.5</v>
      </c>
      <c r="E26" s="4">
        <v>1.5</v>
      </c>
      <c r="F26" t="e">
        <f>VLOOKUP(A26,#REF!,2,FALSE)</f>
        <v>#REF!</v>
      </c>
    </row>
    <row r="27" spans="1:6" x14ac:dyDescent="0.5">
      <c r="A27" t="s">
        <v>19</v>
      </c>
      <c r="B27" t="s">
        <v>21</v>
      </c>
      <c r="C27" s="2">
        <v>3</v>
      </c>
      <c r="D27" s="1">
        <v>0.5</v>
      </c>
      <c r="E27" s="4">
        <v>1.5</v>
      </c>
      <c r="F27" t="e">
        <f>VLOOKUP(A27,#REF!,2,FALSE)</f>
        <v>#REF!</v>
      </c>
    </row>
    <row r="28" spans="1:6" x14ac:dyDescent="0.5">
      <c r="A28" t="s">
        <v>14</v>
      </c>
      <c r="B28" t="s">
        <v>17</v>
      </c>
      <c r="C28" s="2">
        <v>2</v>
      </c>
      <c r="D28" s="1">
        <v>0.75</v>
      </c>
      <c r="E28" s="4">
        <v>1.5</v>
      </c>
      <c r="F28" t="e">
        <f>VLOOKUP(A28,#REF!,2,FALSE)</f>
        <v>#REF!</v>
      </c>
    </row>
    <row r="29" spans="1:6" x14ac:dyDescent="0.5">
      <c r="A29" t="s">
        <v>8</v>
      </c>
      <c r="B29" t="s">
        <v>5</v>
      </c>
      <c r="C29" s="2">
        <v>3</v>
      </c>
      <c r="D29" s="1">
        <v>0.66666666666666663</v>
      </c>
      <c r="E29" s="4">
        <v>2</v>
      </c>
      <c r="F29" t="e">
        <f>VLOOKUP(A29,#REF!,2,FALSE)</f>
        <v>#REF!</v>
      </c>
    </row>
    <row r="30" spans="1:6" x14ac:dyDescent="0.5">
      <c r="A30" t="s">
        <v>10</v>
      </c>
      <c r="B30" t="s">
        <v>16</v>
      </c>
      <c r="C30" s="2">
        <v>4</v>
      </c>
      <c r="D30" s="1">
        <v>0.5</v>
      </c>
      <c r="E30" s="4">
        <v>2</v>
      </c>
      <c r="F30" t="e">
        <f>VLOOKUP(A30,#REF!,2,FALSE)</f>
        <v>#REF!</v>
      </c>
    </row>
    <row r="31" spans="1:6" x14ac:dyDescent="0.5">
      <c r="A31" t="s">
        <v>19</v>
      </c>
      <c r="B31" t="s">
        <v>21</v>
      </c>
      <c r="C31" s="2">
        <v>3</v>
      </c>
      <c r="D31" s="1">
        <v>0.5</v>
      </c>
      <c r="E31" s="4">
        <v>1.5</v>
      </c>
      <c r="F31" t="e">
        <f>VLOOKUP(A31,#REF!,2,FALSE)</f>
        <v>#REF!</v>
      </c>
    </row>
    <row r="32" spans="1:6" x14ac:dyDescent="0.5">
      <c r="A32" t="s">
        <v>11</v>
      </c>
      <c r="B32" t="s">
        <v>16</v>
      </c>
      <c r="C32" s="2">
        <v>2.5</v>
      </c>
      <c r="D32" s="1">
        <v>0.8</v>
      </c>
      <c r="E32" s="4">
        <v>2</v>
      </c>
      <c r="F32" t="e">
        <f>VLOOKUP(A32,#REF!,2,FALSE)</f>
        <v>#REF!</v>
      </c>
    </row>
    <row r="33" spans="1:6" x14ac:dyDescent="0.5">
      <c r="A33" t="s">
        <v>15</v>
      </c>
      <c r="B33" t="s">
        <v>17</v>
      </c>
      <c r="C33" s="2">
        <v>2</v>
      </c>
      <c r="D33" s="1">
        <v>0.5</v>
      </c>
      <c r="E33" s="4">
        <v>1</v>
      </c>
      <c r="F33" t="e">
        <f>VLOOKUP(A33,#REF!,2,FALSE)</f>
        <v>#REF!</v>
      </c>
    </row>
    <row r="34" spans="1:6" x14ac:dyDescent="0.5">
      <c r="A34" t="s">
        <v>19</v>
      </c>
      <c r="B34" t="s">
        <v>21</v>
      </c>
      <c r="C34" s="2">
        <v>3</v>
      </c>
      <c r="D34" s="1">
        <v>0.5</v>
      </c>
      <c r="E34" s="4">
        <v>1.5</v>
      </c>
      <c r="F34" t="e">
        <f>VLOOKUP(A34,#REF!,2,FALSE)</f>
        <v>#REF!</v>
      </c>
    </row>
    <row r="35" spans="1:6" x14ac:dyDescent="0.5">
      <c r="A35" t="s">
        <v>13</v>
      </c>
      <c r="B35" t="s">
        <v>17</v>
      </c>
      <c r="C35" s="2">
        <v>2</v>
      </c>
      <c r="D35" s="1">
        <v>0.5</v>
      </c>
      <c r="E35" s="4">
        <v>1</v>
      </c>
      <c r="F35" t="e">
        <f>VLOOKUP(A35,#REF!,2,FALSE)</f>
        <v>#REF!</v>
      </c>
    </row>
    <row r="36" spans="1:6" x14ac:dyDescent="0.5">
      <c r="A36" t="s">
        <v>6</v>
      </c>
      <c r="B36" t="s">
        <v>5</v>
      </c>
      <c r="C36" s="2">
        <v>3</v>
      </c>
      <c r="D36" s="1">
        <v>0.5</v>
      </c>
      <c r="E36" s="4">
        <v>1.5</v>
      </c>
      <c r="F36" t="e">
        <f>VLOOKUP(A36,#REF!,2,FALSE)</f>
        <v>#REF!</v>
      </c>
    </row>
    <row r="37" spans="1:6" x14ac:dyDescent="0.5">
      <c r="A37" t="s">
        <v>12</v>
      </c>
      <c r="B37" t="s">
        <v>16</v>
      </c>
      <c r="C37" s="2">
        <v>3</v>
      </c>
      <c r="D37" s="1">
        <v>0.83333333333333337</v>
      </c>
      <c r="E37" s="4">
        <v>2.5</v>
      </c>
      <c r="F37" t="e">
        <f>VLOOKUP(A37,#REF!,2,FALSE)</f>
        <v>#REF!</v>
      </c>
    </row>
    <row r="38" spans="1:6" x14ac:dyDescent="0.5">
      <c r="A38" t="s">
        <v>12</v>
      </c>
      <c r="B38" t="s">
        <v>16</v>
      </c>
      <c r="C38" s="2">
        <v>3</v>
      </c>
      <c r="D38" s="1">
        <v>0.83333333333333337</v>
      </c>
      <c r="E38" s="4">
        <v>2.5</v>
      </c>
      <c r="F38" t="e">
        <f>VLOOKUP(A38,#REF!,2,FALSE)</f>
        <v>#REF!</v>
      </c>
    </row>
    <row r="39" spans="1:6" x14ac:dyDescent="0.5">
      <c r="A39" t="s">
        <v>9</v>
      </c>
      <c r="B39" t="s">
        <v>5</v>
      </c>
      <c r="C39" s="2">
        <v>5</v>
      </c>
      <c r="D39" s="1">
        <v>0.8</v>
      </c>
      <c r="E39" s="4">
        <v>4</v>
      </c>
      <c r="F39" t="e">
        <f>VLOOKUP(A39,#REF!,2,FALSE)</f>
        <v>#REF!</v>
      </c>
    </row>
    <row r="40" spans="1:6" x14ac:dyDescent="0.5">
      <c r="A40" t="s">
        <v>14</v>
      </c>
      <c r="B40" t="s">
        <v>17</v>
      </c>
      <c r="C40" s="2">
        <v>2</v>
      </c>
      <c r="D40" s="1">
        <v>0.75</v>
      </c>
      <c r="E40" s="4">
        <v>1.5</v>
      </c>
      <c r="F40" t="e">
        <f>VLOOKUP(A40,#REF!,2,FALSE)</f>
        <v>#REF!</v>
      </c>
    </row>
    <row r="41" spans="1:6" x14ac:dyDescent="0.5">
      <c r="A41" t="s">
        <v>19</v>
      </c>
      <c r="B41" t="s">
        <v>21</v>
      </c>
      <c r="C41" s="2">
        <v>3</v>
      </c>
      <c r="D41" s="1">
        <v>0.5</v>
      </c>
      <c r="E41" s="4">
        <v>1.5</v>
      </c>
      <c r="F41" t="e">
        <f>VLOOKUP(A41,#REF!,2,FALSE)</f>
        <v>#REF!</v>
      </c>
    </row>
    <row r="42" spans="1:6" x14ac:dyDescent="0.5">
      <c r="A42" t="s">
        <v>13</v>
      </c>
      <c r="B42" t="s">
        <v>17</v>
      </c>
      <c r="C42" s="2">
        <v>2</v>
      </c>
      <c r="D42" s="1">
        <v>0.5</v>
      </c>
      <c r="E42" s="4">
        <v>1</v>
      </c>
      <c r="F42" t="e">
        <f>VLOOKUP(A42,#REF!,2,FALSE)</f>
        <v>#REF!</v>
      </c>
    </row>
    <row r="43" spans="1:6" x14ac:dyDescent="0.5">
      <c r="A43" t="s">
        <v>10</v>
      </c>
      <c r="B43" t="s">
        <v>16</v>
      </c>
      <c r="C43" s="2">
        <v>4</v>
      </c>
      <c r="D43" s="1">
        <v>0.5</v>
      </c>
      <c r="E43" s="4">
        <v>2</v>
      </c>
      <c r="F43" t="e">
        <f>VLOOKUP(A43,#REF!,2,FALSE)</f>
        <v>#REF!</v>
      </c>
    </row>
    <row r="44" spans="1:6" x14ac:dyDescent="0.5">
      <c r="A44" t="s">
        <v>4</v>
      </c>
      <c r="B44" t="s">
        <v>5</v>
      </c>
      <c r="C44" s="2">
        <v>1.5</v>
      </c>
      <c r="D44" s="1">
        <v>0.66666666666666663</v>
      </c>
      <c r="E44" s="4">
        <v>1</v>
      </c>
      <c r="F44" t="e">
        <f>VLOOKUP(A44,#REF!,2,FALSE)</f>
        <v>#REF!</v>
      </c>
    </row>
    <row r="45" spans="1:6" x14ac:dyDescent="0.5">
      <c r="A45" t="s">
        <v>14</v>
      </c>
      <c r="B45" t="s">
        <v>17</v>
      </c>
      <c r="C45" s="2">
        <v>2</v>
      </c>
      <c r="D45" s="1">
        <v>0.75</v>
      </c>
      <c r="E45" s="4">
        <v>1.5</v>
      </c>
      <c r="F45" t="e">
        <f>VLOOKUP(A45,#REF!,2,FALSE)</f>
        <v>#REF!</v>
      </c>
    </row>
    <row r="46" spans="1:6" x14ac:dyDescent="0.5">
      <c r="A46" t="s">
        <v>7</v>
      </c>
      <c r="B46" t="s">
        <v>5</v>
      </c>
      <c r="C46" s="2">
        <v>2</v>
      </c>
      <c r="D46" s="1">
        <v>0.25</v>
      </c>
      <c r="E46" s="4">
        <v>0.5</v>
      </c>
      <c r="F46" t="e">
        <f>VLOOKUP(A46,#REF!,2,FALSE)</f>
        <v>#REF!</v>
      </c>
    </row>
    <row r="47" spans="1:6" x14ac:dyDescent="0.5">
      <c r="A47" t="s">
        <v>8</v>
      </c>
      <c r="B47" t="s">
        <v>5</v>
      </c>
      <c r="C47" s="2">
        <v>3</v>
      </c>
      <c r="D47" s="1">
        <v>0.66666666666666663</v>
      </c>
      <c r="E47" s="4">
        <v>2</v>
      </c>
      <c r="F47" t="e">
        <f>VLOOKUP(A47,#REF!,2,FALSE)</f>
        <v>#REF!</v>
      </c>
    </row>
    <row r="48" spans="1:6" x14ac:dyDescent="0.5">
      <c r="A48" t="s">
        <v>19</v>
      </c>
      <c r="B48" t="s">
        <v>21</v>
      </c>
      <c r="C48" s="2">
        <v>3</v>
      </c>
      <c r="D48" s="1">
        <v>0.5</v>
      </c>
      <c r="E48" s="4">
        <v>1.5</v>
      </c>
      <c r="F48" t="e">
        <f>VLOOKUP(A48,#REF!,2,FALSE)</f>
        <v>#REF!</v>
      </c>
    </row>
    <row r="49" spans="1:6" x14ac:dyDescent="0.5">
      <c r="A49" t="s">
        <v>13</v>
      </c>
      <c r="B49" t="s">
        <v>17</v>
      </c>
      <c r="C49" s="2">
        <v>2</v>
      </c>
      <c r="D49" s="1">
        <v>0.5</v>
      </c>
      <c r="E49" s="4">
        <v>1</v>
      </c>
      <c r="F49" t="e">
        <f>VLOOKUP(A49,#REF!,2,FALSE)</f>
        <v>#REF!</v>
      </c>
    </row>
    <row r="50" spans="1:6" x14ac:dyDescent="0.5">
      <c r="A50" t="s">
        <v>6</v>
      </c>
      <c r="B50" t="s">
        <v>5</v>
      </c>
      <c r="C50" s="2">
        <v>3</v>
      </c>
      <c r="D50" s="1">
        <v>0.5</v>
      </c>
      <c r="E50" s="4">
        <v>1.5</v>
      </c>
      <c r="F50" t="e">
        <f>VLOOKUP(A50,#REF!,2,FALSE)</f>
        <v>#REF!</v>
      </c>
    </row>
    <row r="51" spans="1:6" x14ac:dyDescent="0.5">
      <c r="A51" t="s">
        <v>9</v>
      </c>
      <c r="B51" t="s">
        <v>5</v>
      </c>
      <c r="C51" s="2">
        <v>5</v>
      </c>
      <c r="D51" s="1">
        <v>0.8</v>
      </c>
      <c r="E51" s="4">
        <v>4</v>
      </c>
      <c r="F51" t="e">
        <f>VLOOKUP(A51,#REF!,2,FALSE)</f>
        <v>#REF!</v>
      </c>
    </row>
    <row r="52" spans="1:6" x14ac:dyDescent="0.5">
      <c r="A52" t="s">
        <v>14</v>
      </c>
      <c r="B52" t="s">
        <v>17</v>
      </c>
      <c r="C52" s="2">
        <v>2</v>
      </c>
      <c r="D52" s="1">
        <v>0.75</v>
      </c>
      <c r="E52" s="4">
        <v>1.5</v>
      </c>
      <c r="F52" t="e">
        <f>VLOOKUP(A52,#REF!,2,FALSE)</f>
        <v>#REF!</v>
      </c>
    </row>
    <row r="53" spans="1:6" x14ac:dyDescent="0.5">
      <c r="A53" t="s">
        <v>4</v>
      </c>
      <c r="B53" t="s">
        <v>5</v>
      </c>
      <c r="C53" s="2">
        <v>1.5</v>
      </c>
      <c r="D53" s="1">
        <v>0.66666666666666663</v>
      </c>
      <c r="E53" s="4">
        <v>1</v>
      </c>
      <c r="F53" t="e">
        <f>VLOOKUP(A53,#REF!,2,FALSE)</f>
        <v>#REF!</v>
      </c>
    </row>
    <row r="54" spans="1:6" x14ac:dyDescent="0.5">
      <c r="A54" t="s">
        <v>9</v>
      </c>
      <c r="B54" t="s">
        <v>5</v>
      </c>
      <c r="C54" s="2">
        <v>5</v>
      </c>
      <c r="D54" s="1">
        <v>0.8</v>
      </c>
      <c r="E54" s="4">
        <v>4</v>
      </c>
      <c r="F54" t="e">
        <f>VLOOKUP(A54,#REF!,2,FALSE)</f>
        <v>#REF!</v>
      </c>
    </row>
    <row r="55" spans="1:6" x14ac:dyDescent="0.5">
      <c r="A55" t="s">
        <v>10</v>
      </c>
      <c r="B55" t="s">
        <v>16</v>
      </c>
      <c r="C55" s="2">
        <v>4</v>
      </c>
      <c r="D55" s="1">
        <v>0.5</v>
      </c>
      <c r="E55" s="4">
        <v>2</v>
      </c>
      <c r="F55" t="e">
        <f>VLOOKUP(A55,#REF!,2,FALSE)</f>
        <v>#REF!</v>
      </c>
    </row>
    <row r="56" spans="1:6" x14ac:dyDescent="0.5">
      <c r="A56" t="s">
        <v>19</v>
      </c>
      <c r="B56" t="s">
        <v>21</v>
      </c>
      <c r="C56" s="2">
        <v>3</v>
      </c>
      <c r="D56" s="1">
        <v>0.5</v>
      </c>
      <c r="E56" s="4">
        <v>1.5</v>
      </c>
      <c r="F56" t="e">
        <f>VLOOKUP(A56,#REF!,2,FALSE)</f>
        <v>#REF!</v>
      </c>
    </row>
    <row r="57" spans="1:6" x14ac:dyDescent="0.5">
      <c r="A57" t="s">
        <v>15</v>
      </c>
      <c r="B57" t="s">
        <v>17</v>
      </c>
      <c r="C57" s="2">
        <v>2</v>
      </c>
      <c r="D57" s="1">
        <v>0.5</v>
      </c>
      <c r="E57" s="4">
        <v>1</v>
      </c>
      <c r="F57" t="e">
        <f>VLOOKUP(A57,#REF!,2,FALSE)</f>
        <v>#REF!</v>
      </c>
    </row>
    <row r="58" spans="1:6" x14ac:dyDescent="0.5">
      <c r="A58" t="s">
        <v>13</v>
      </c>
      <c r="B58" t="s">
        <v>17</v>
      </c>
      <c r="C58" s="2">
        <v>2</v>
      </c>
      <c r="D58" s="1">
        <v>0.5</v>
      </c>
      <c r="E58" s="4">
        <v>1</v>
      </c>
      <c r="F58" t="e">
        <f>VLOOKUP(A58,#REF!,2,FALSE)</f>
        <v>#REF!</v>
      </c>
    </row>
    <row r="59" spans="1:6" x14ac:dyDescent="0.5">
      <c r="A59" t="s">
        <v>10</v>
      </c>
      <c r="B59" t="s">
        <v>16</v>
      </c>
      <c r="C59" s="2">
        <v>4</v>
      </c>
      <c r="D59" s="1">
        <v>0.5</v>
      </c>
      <c r="E59" s="4">
        <v>2</v>
      </c>
      <c r="F59" t="e">
        <f>VLOOKUP(A59,#REF!,2,FALSE)</f>
        <v>#REF!</v>
      </c>
    </row>
    <row r="60" spans="1:6" x14ac:dyDescent="0.5">
      <c r="A60" t="s">
        <v>13</v>
      </c>
      <c r="B60" t="s">
        <v>17</v>
      </c>
      <c r="C60" s="2">
        <v>2</v>
      </c>
      <c r="D60" s="1">
        <v>0.5</v>
      </c>
      <c r="E60" s="4">
        <v>1</v>
      </c>
      <c r="F60" t="e">
        <f>VLOOKUP(A60,#REF!,2,FALSE)</f>
        <v>#REF!</v>
      </c>
    </row>
    <row r="61" spans="1:6" x14ac:dyDescent="0.5">
      <c r="A61" t="s">
        <v>10</v>
      </c>
      <c r="B61" t="s">
        <v>16</v>
      </c>
      <c r="C61" s="2">
        <v>4</v>
      </c>
      <c r="D61" s="1">
        <v>0.5</v>
      </c>
      <c r="E61" s="4">
        <v>2</v>
      </c>
      <c r="F61" t="e">
        <f>VLOOKUP(A61,#REF!,2,FALSE)</f>
        <v>#REF!</v>
      </c>
    </row>
    <row r="62" spans="1:6" x14ac:dyDescent="0.5">
      <c r="A62" t="s">
        <v>11</v>
      </c>
      <c r="B62" t="s">
        <v>16</v>
      </c>
      <c r="C62" s="2">
        <v>2.5</v>
      </c>
      <c r="D62" s="1">
        <v>0.8</v>
      </c>
      <c r="E62" s="4">
        <v>2</v>
      </c>
      <c r="F62" t="e">
        <f>VLOOKUP(A62,#REF!,2,FALSE)</f>
        <v>#REF!</v>
      </c>
    </row>
    <row r="63" spans="1:6" x14ac:dyDescent="0.5">
      <c r="A63" t="s">
        <v>4</v>
      </c>
      <c r="B63" t="s">
        <v>5</v>
      </c>
      <c r="C63" s="2">
        <v>1.5</v>
      </c>
      <c r="D63" s="1">
        <v>0.66666666666666663</v>
      </c>
      <c r="E63" s="4">
        <v>1</v>
      </c>
      <c r="F63" t="e">
        <f>VLOOKUP(A63,#REF!,2,FALSE)</f>
        <v>#REF!</v>
      </c>
    </row>
    <row r="64" spans="1:6" x14ac:dyDescent="0.5">
      <c r="A64" t="s">
        <v>7</v>
      </c>
      <c r="B64" t="s">
        <v>5</v>
      </c>
      <c r="C64" s="2">
        <v>2</v>
      </c>
      <c r="D64" s="1">
        <v>0.25</v>
      </c>
      <c r="E64" s="4">
        <v>0.5</v>
      </c>
      <c r="F64" t="e">
        <f>VLOOKUP(A64,#REF!,2,FALSE)</f>
        <v>#REF!</v>
      </c>
    </row>
    <row r="65" spans="1:6" x14ac:dyDescent="0.5">
      <c r="A65" t="s">
        <v>11</v>
      </c>
      <c r="B65" t="s">
        <v>16</v>
      </c>
      <c r="C65" s="2">
        <v>2.5</v>
      </c>
      <c r="D65" s="1">
        <v>0.8</v>
      </c>
      <c r="E65" s="4">
        <v>2</v>
      </c>
      <c r="F65" t="e">
        <f>VLOOKUP(A65,#REF!,2,FALSE)</f>
        <v>#REF!</v>
      </c>
    </row>
    <row r="66" spans="1:6" x14ac:dyDescent="0.5">
      <c r="A66" t="s">
        <v>15</v>
      </c>
      <c r="B66" t="s">
        <v>17</v>
      </c>
      <c r="C66" s="2">
        <v>2</v>
      </c>
      <c r="D66" s="1">
        <v>0.5</v>
      </c>
      <c r="E66" s="4">
        <v>1</v>
      </c>
      <c r="F66" t="e">
        <f>VLOOKUP(A66,#REF!,2,FALSE)</f>
        <v>#REF!</v>
      </c>
    </row>
    <row r="67" spans="1:6" x14ac:dyDescent="0.5">
      <c r="A67" t="s">
        <v>19</v>
      </c>
      <c r="B67" t="s">
        <v>21</v>
      </c>
      <c r="C67" s="2">
        <v>3</v>
      </c>
      <c r="D67" s="1">
        <v>0.5</v>
      </c>
      <c r="E67" s="4">
        <v>1.5</v>
      </c>
      <c r="F67" t="e">
        <f>VLOOKUP(A67,#REF!,2,FALSE)</f>
        <v>#REF!</v>
      </c>
    </row>
    <row r="68" spans="1:6" x14ac:dyDescent="0.5">
      <c r="A68" t="s">
        <v>11</v>
      </c>
      <c r="B68" t="s">
        <v>16</v>
      </c>
      <c r="C68" s="2">
        <v>2.5</v>
      </c>
      <c r="D68" s="1">
        <v>0.8</v>
      </c>
      <c r="E68" s="4">
        <v>2</v>
      </c>
      <c r="F68" t="e">
        <f>VLOOKUP(A68,#REF!,2,FALSE)</f>
        <v>#REF!</v>
      </c>
    </row>
    <row r="69" spans="1:6" x14ac:dyDescent="0.5">
      <c r="A69" t="s">
        <v>14</v>
      </c>
      <c r="B69" t="s">
        <v>17</v>
      </c>
      <c r="C69" s="2">
        <v>2</v>
      </c>
      <c r="D69" s="1">
        <v>0.75</v>
      </c>
      <c r="E69" s="4">
        <v>1.5</v>
      </c>
      <c r="F69" t="e">
        <f>VLOOKUP(A69,#REF!,2,FALSE)</f>
        <v>#REF!</v>
      </c>
    </row>
    <row r="70" spans="1:6" x14ac:dyDescent="0.5">
      <c r="A70" t="s">
        <v>10</v>
      </c>
      <c r="B70" t="s">
        <v>16</v>
      </c>
      <c r="C70" s="2">
        <v>4</v>
      </c>
      <c r="D70" s="1">
        <v>0.5</v>
      </c>
      <c r="E70" s="4">
        <v>2</v>
      </c>
      <c r="F70" t="e">
        <f>VLOOKUP(A70,#REF!,2,FALSE)</f>
        <v>#REF!</v>
      </c>
    </row>
    <row r="71" spans="1:6" x14ac:dyDescent="0.5">
      <c r="A71" t="s">
        <v>19</v>
      </c>
      <c r="B71" t="s">
        <v>21</v>
      </c>
      <c r="C71" s="2">
        <v>3</v>
      </c>
      <c r="D71" s="1">
        <v>0.5</v>
      </c>
      <c r="E71" s="4">
        <v>1.5</v>
      </c>
      <c r="F71" t="e">
        <f>VLOOKUP(A71,#REF!,2,FALSE)</f>
        <v>#REF!</v>
      </c>
    </row>
    <row r="72" spans="1:6" x14ac:dyDescent="0.5">
      <c r="A72" t="s">
        <v>10</v>
      </c>
      <c r="B72" t="s">
        <v>16</v>
      </c>
      <c r="C72" s="2">
        <v>4</v>
      </c>
      <c r="D72" s="1">
        <v>0.5</v>
      </c>
      <c r="E72" s="4">
        <v>2</v>
      </c>
      <c r="F72" t="e">
        <f>VLOOKUP(A72,#REF!,2,FALSE)</f>
        <v>#REF!</v>
      </c>
    </row>
    <row r="73" spans="1:6" x14ac:dyDescent="0.5">
      <c r="A73" t="s">
        <v>6</v>
      </c>
      <c r="B73" t="s">
        <v>5</v>
      </c>
      <c r="C73" s="2">
        <v>3</v>
      </c>
      <c r="D73" s="1">
        <v>0.5</v>
      </c>
      <c r="E73" s="4">
        <v>1.5</v>
      </c>
      <c r="F73" t="e">
        <f>VLOOKUP(A73,#REF!,2,FALSE)</f>
        <v>#REF!</v>
      </c>
    </row>
    <row r="74" spans="1:6" x14ac:dyDescent="0.5">
      <c r="A74" t="s">
        <v>6</v>
      </c>
      <c r="B74" t="s">
        <v>5</v>
      </c>
      <c r="C74" s="2">
        <v>3</v>
      </c>
      <c r="D74" s="1">
        <v>0.5</v>
      </c>
      <c r="E74" s="4">
        <v>1.5</v>
      </c>
      <c r="F74" t="e">
        <f>VLOOKUP(A74,#REF!,2,FALSE)</f>
        <v>#REF!</v>
      </c>
    </row>
    <row r="75" spans="1:6" x14ac:dyDescent="0.5">
      <c r="A75" t="s">
        <v>6</v>
      </c>
      <c r="B75" t="s">
        <v>5</v>
      </c>
      <c r="C75" s="2">
        <v>3</v>
      </c>
      <c r="D75" s="1">
        <v>0.5</v>
      </c>
      <c r="E75" s="4">
        <v>1.5</v>
      </c>
      <c r="F75" t="e">
        <f>VLOOKUP(A75,#REF!,2,FALSE)</f>
        <v>#REF!</v>
      </c>
    </row>
    <row r="76" spans="1:6" x14ac:dyDescent="0.5">
      <c r="A76" t="s">
        <v>15</v>
      </c>
      <c r="B76" t="s">
        <v>17</v>
      </c>
      <c r="C76" s="2">
        <v>2</v>
      </c>
      <c r="D76" s="1">
        <v>0.5</v>
      </c>
      <c r="E76" s="4">
        <v>1</v>
      </c>
      <c r="F76" t="e">
        <f>VLOOKUP(A76,#REF!,2,FALSE)</f>
        <v>#REF!</v>
      </c>
    </row>
    <row r="77" spans="1:6" x14ac:dyDescent="0.5">
      <c r="A77" t="s">
        <v>4</v>
      </c>
      <c r="B77" t="s">
        <v>5</v>
      </c>
      <c r="C77" s="2">
        <v>1.5</v>
      </c>
      <c r="D77" s="1">
        <v>0.66666666666666663</v>
      </c>
      <c r="E77" s="4">
        <v>1</v>
      </c>
      <c r="F77" t="e">
        <f>VLOOKUP(A77,#REF!,2,FALSE)</f>
        <v>#REF!</v>
      </c>
    </row>
    <row r="78" spans="1:6" x14ac:dyDescent="0.5">
      <c r="A78" t="s">
        <v>7</v>
      </c>
      <c r="B78" t="s">
        <v>5</v>
      </c>
      <c r="C78" s="2">
        <v>2</v>
      </c>
      <c r="D78" s="1">
        <v>0.25</v>
      </c>
      <c r="E78" s="4">
        <v>0.5</v>
      </c>
      <c r="F78" t="e">
        <f>VLOOKUP(A78,#REF!,2,FALSE)</f>
        <v>#REF!</v>
      </c>
    </row>
    <row r="79" spans="1:6" x14ac:dyDescent="0.5">
      <c r="A79" t="s">
        <v>12</v>
      </c>
      <c r="B79" t="s">
        <v>16</v>
      </c>
      <c r="C79" s="2">
        <v>3</v>
      </c>
      <c r="D79" s="1">
        <v>0.83333333333333337</v>
      </c>
      <c r="E79" s="4">
        <v>2.5</v>
      </c>
      <c r="F79" t="e">
        <f>VLOOKUP(A79,#REF!,2,FALSE)</f>
        <v>#REF!</v>
      </c>
    </row>
    <row r="80" spans="1:6" x14ac:dyDescent="0.5">
      <c r="A80" t="s">
        <v>8</v>
      </c>
      <c r="B80" t="s">
        <v>5</v>
      </c>
      <c r="C80" s="2">
        <v>3</v>
      </c>
      <c r="D80" s="1">
        <v>0.66666666666666663</v>
      </c>
      <c r="E80" s="4">
        <v>2</v>
      </c>
      <c r="F80" t="e">
        <f>VLOOKUP(A80,#REF!,2,FALSE)</f>
        <v>#REF!</v>
      </c>
    </row>
    <row r="81" spans="1:6" x14ac:dyDescent="0.5">
      <c r="A81" t="s">
        <v>19</v>
      </c>
      <c r="B81" t="s">
        <v>21</v>
      </c>
      <c r="C81" s="2">
        <v>3</v>
      </c>
      <c r="D81" s="1">
        <v>0.5</v>
      </c>
      <c r="E81" s="4">
        <v>1.5</v>
      </c>
      <c r="F81" t="e">
        <f>VLOOKUP(A81,#REF!,2,FALSE)</f>
        <v>#REF!</v>
      </c>
    </row>
    <row r="82" spans="1:6" x14ac:dyDescent="0.5">
      <c r="A82" t="s">
        <v>9</v>
      </c>
      <c r="B82" t="s">
        <v>5</v>
      </c>
      <c r="C82" s="2">
        <v>5</v>
      </c>
      <c r="D82" s="1">
        <v>0.8</v>
      </c>
      <c r="E82" s="4">
        <v>4</v>
      </c>
      <c r="F82" t="e">
        <f>VLOOKUP(A82,#REF!,2,FALSE)</f>
        <v>#REF!</v>
      </c>
    </row>
    <row r="83" spans="1:6" x14ac:dyDescent="0.5">
      <c r="A83" t="s">
        <v>4</v>
      </c>
      <c r="B83" t="s">
        <v>5</v>
      </c>
      <c r="C83" s="2">
        <v>1.5</v>
      </c>
      <c r="D83" s="1">
        <v>0.66666666666666663</v>
      </c>
      <c r="E83" s="4">
        <v>1</v>
      </c>
      <c r="F83" t="e">
        <f>VLOOKUP(A83,#REF!,2,FALSE)</f>
        <v>#REF!</v>
      </c>
    </row>
    <row r="84" spans="1:6" x14ac:dyDescent="0.5">
      <c r="A84" t="s">
        <v>18</v>
      </c>
      <c r="B84" t="s">
        <v>21</v>
      </c>
      <c r="C84" s="2">
        <v>3</v>
      </c>
      <c r="D84" s="1">
        <v>0.66666666666666663</v>
      </c>
      <c r="E84" s="4">
        <v>2</v>
      </c>
      <c r="F84" t="e">
        <f>VLOOKUP(A84,#REF!,2,FALSE)</f>
        <v>#REF!</v>
      </c>
    </row>
    <row r="85" spans="1:6" x14ac:dyDescent="0.5">
      <c r="A85" t="s">
        <v>14</v>
      </c>
      <c r="B85" t="s">
        <v>17</v>
      </c>
      <c r="C85" s="2">
        <v>2</v>
      </c>
      <c r="D85" s="1">
        <v>0.75</v>
      </c>
      <c r="E85" s="4">
        <v>1.5</v>
      </c>
      <c r="F85" t="e">
        <f>VLOOKUP(A85,#REF!,2,FALSE)</f>
        <v>#REF!</v>
      </c>
    </row>
    <row r="86" spans="1:6" x14ac:dyDescent="0.5">
      <c r="A86" t="s">
        <v>13</v>
      </c>
      <c r="B86" t="s">
        <v>17</v>
      </c>
      <c r="C86" s="2">
        <v>2</v>
      </c>
      <c r="D86" s="1">
        <v>0.5</v>
      </c>
      <c r="E86" s="4">
        <v>1</v>
      </c>
      <c r="F86" t="e">
        <f>VLOOKUP(A86,#REF!,2,FALSE)</f>
        <v>#REF!</v>
      </c>
    </row>
    <row r="87" spans="1:6" x14ac:dyDescent="0.5">
      <c r="A87" t="s">
        <v>10</v>
      </c>
      <c r="B87" t="s">
        <v>16</v>
      </c>
      <c r="C87" s="2">
        <v>4</v>
      </c>
      <c r="D87" s="1">
        <v>0.5</v>
      </c>
      <c r="E87" s="4">
        <v>2</v>
      </c>
      <c r="F87" t="e">
        <f>VLOOKUP(A87,#REF!,2,FALSE)</f>
        <v>#REF!</v>
      </c>
    </row>
    <row r="88" spans="1:6" x14ac:dyDescent="0.5">
      <c r="A88" t="s">
        <v>4</v>
      </c>
      <c r="B88" t="s">
        <v>5</v>
      </c>
      <c r="C88" s="2">
        <v>1.5</v>
      </c>
      <c r="D88" s="1">
        <v>0.66666666666666663</v>
      </c>
      <c r="E88" s="4">
        <v>1</v>
      </c>
      <c r="F88" t="e">
        <f>VLOOKUP(A88,#REF!,2,FALSE)</f>
        <v>#REF!</v>
      </c>
    </row>
    <row r="89" spans="1:6" x14ac:dyDescent="0.5">
      <c r="A89" t="s">
        <v>18</v>
      </c>
      <c r="B89" t="s">
        <v>21</v>
      </c>
      <c r="C89" s="2">
        <v>3</v>
      </c>
      <c r="D89" s="1">
        <v>0.66666666666666663</v>
      </c>
      <c r="E89" s="4">
        <v>2</v>
      </c>
      <c r="F89" t="e">
        <f>VLOOKUP(A89,#REF!,2,FALSE)</f>
        <v>#REF!</v>
      </c>
    </row>
    <row r="90" spans="1:6" x14ac:dyDescent="0.5">
      <c r="A90" t="s">
        <v>4</v>
      </c>
      <c r="B90" t="s">
        <v>5</v>
      </c>
      <c r="C90" s="2">
        <v>1.5</v>
      </c>
      <c r="D90" s="1">
        <v>0.66666666666666663</v>
      </c>
      <c r="E90" s="4">
        <v>1</v>
      </c>
      <c r="F90" t="e">
        <f>VLOOKUP(A90,#REF!,2,FALSE)</f>
        <v>#REF!</v>
      </c>
    </row>
    <row r="91" spans="1:6" x14ac:dyDescent="0.5">
      <c r="A91" t="s">
        <v>18</v>
      </c>
      <c r="B91" t="s">
        <v>21</v>
      </c>
      <c r="C91" s="2">
        <v>3</v>
      </c>
      <c r="D91" s="1">
        <v>0.66666666666666663</v>
      </c>
      <c r="E91" s="4">
        <v>2</v>
      </c>
      <c r="F91" t="e">
        <f>VLOOKUP(A91,#REF!,2,FALSE)</f>
        <v>#REF!</v>
      </c>
    </row>
    <row r="92" spans="1:6" x14ac:dyDescent="0.5">
      <c r="A92" t="s">
        <v>11</v>
      </c>
      <c r="B92" t="s">
        <v>16</v>
      </c>
      <c r="C92" s="2">
        <v>2.5</v>
      </c>
      <c r="D92" s="1">
        <v>0.8</v>
      </c>
      <c r="E92" s="4">
        <v>2</v>
      </c>
      <c r="F92" t="e">
        <f>VLOOKUP(A92,#REF!,2,FALSE)</f>
        <v>#REF!</v>
      </c>
    </row>
    <row r="93" spans="1:6" x14ac:dyDescent="0.5">
      <c r="A93" t="s">
        <v>14</v>
      </c>
      <c r="B93" t="s">
        <v>17</v>
      </c>
      <c r="C93" s="2">
        <v>2</v>
      </c>
      <c r="D93" s="1">
        <v>0.75</v>
      </c>
      <c r="E93" s="4">
        <v>1.5</v>
      </c>
      <c r="F93" t="e">
        <f>VLOOKUP(A93,#REF!,2,FALSE)</f>
        <v>#REF!</v>
      </c>
    </row>
    <row r="94" spans="1:6" x14ac:dyDescent="0.5">
      <c r="A94" t="s">
        <v>15</v>
      </c>
      <c r="B94" t="s">
        <v>17</v>
      </c>
      <c r="C94" s="2">
        <v>2</v>
      </c>
      <c r="D94" s="1">
        <v>0.5</v>
      </c>
      <c r="E94" s="4">
        <v>1</v>
      </c>
      <c r="F94" t="e">
        <f>VLOOKUP(A94,#REF!,2,FALSE)</f>
        <v>#REF!</v>
      </c>
    </row>
    <row r="95" spans="1:6" x14ac:dyDescent="0.5">
      <c r="A95" t="s">
        <v>7</v>
      </c>
      <c r="B95" t="s">
        <v>5</v>
      </c>
      <c r="C95" s="2">
        <v>2</v>
      </c>
      <c r="D95" s="1">
        <v>0.25</v>
      </c>
      <c r="E95" s="4">
        <v>0.5</v>
      </c>
      <c r="F95" t="e">
        <f>VLOOKUP(A95,#REF!,2,FALSE)</f>
        <v>#REF!</v>
      </c>
    </row>
    <row r="96" spans="1:6" x14ac:dyDescent="0.5">
      <c r="A96" t="s">
        <v>4</v>
      </c>
      <c r="B96" t="s">
        <v>5</v>
      </c>
      <c r="C96" s="2">
        <v>1.5</v>
      </c>
      <c r="D96" s="1">
        <v>0.66666666666666663</v>
      </c>
      <c r="E96" s="4">
        <v>1</v>
      </c>
      <c r="F96" t="e">
        <f>VLOOKUP(A96,#REF!,2,FALSE)</f>
        <v>#REF!</v>
      </c>
    </row>
    <row r="97" spans="1:6" x14ac:dyDescent="0.5">
      <c r="A97" t="s">
        <v>15</v>
      </c>
      <c r="B97" t="s">
        <v>17</v>
      </c>
      <c r="C97" s="2">
        <v>2</v>
      </c>
      <c r="D97" s="1">
        <v>0.5</v>
      </c>
      <c r="E97" s="4">
        <v>1</v>
      </c>
      <c r="F97" t="e">
        <f>VLOOKUP(A97,#REF!,2,FALSE)</f>
        <v>#REF!</v>
      </c>
    </row>
    <row r="98" spans="1:6" x14ac:dyDescent="0.5">
      <c r="A98" t="s">
        <v>18</v>
      </c>
      <c r="B98" t="s">
        <v>21</v>
      </c>
      <c r="C98" s="2">
        <v>3</v>
      </c>
      <c r="D98" s="1">
        <v>0.66666666666666663</v>
      </c>
      <c r="E98" s="4">
        <v>2</v>
      </c>
      <c r="F98" t="e">
        <f>VLOOKUP(A98,#REF!,2,FALSE)</f>
        <v>#REF!</v>
      </c>
    </row>
    <row r="99" spans="1:6" x14ac:dyDescent="0.5">
      <c r="A99" t="s">
        <v>13</v>
      </c>
      <c r="B99" t="s">
        <v>17</v>
      </c>
      <c r="C99" s="2">
        <v>2</v>
      </c>
      <c r="D99" s="1">
        <v>0.5</v>
      </c>
      <c r="E99" s="4">
        <v>1</v>
      </c>
      <c r="F99" t="e">
        <f>VLOOKUP(A99,#REF!,2,FALSE)</f>
        <v>#REF!</v>
      </c>
    </row>
    <row r="100" spans="1:6" x14ac:dyDescent="0.5">
      <c r="A100" t="s">
        <v>10</v>
      </c>
      <c r="B100" t="s">
        <v>16</v>
      </c>
      <c r="C100" s="2">
        <v>4</v>
      </c>
      <c r="D100" s="1">
        <v>0.5</v>
      </c>
      <c r="E100" s="4">
        <v>2</v>
      </c>
      <c r="F100" t="e">
        <f>VLOOKUP(A100,#REF!,2,FALSE)</f>
        <v>#REF!</v>
      </c>
    </row>
    <row r="101" spans="1:6" x14ac:dyDescent="0.5">
      <c r="A101" t="s">
        <v>8</v>
      </c>
      <c r="B101" t="s">
        <v>5</v>
      </c>
      <c r="C101" s="2">
        <v>3</v>
      </c>
      <c r="D101" s="1">
        <v>0.66666666666666663</v>
      </c>
      <c r="E101" s="4">
        <v>2</v>
      </c>
      <c r="F101" t="e">
        <f>VLOOKUP(A101,#REF!,2,FALSE)</f>
        <v>#REF!</v>
      </c>
    </row>
    <row r="102" spans="1:6" x14ac:dyDescent="0.5">
      <c r="A102" t="s">
        <v>10</v>
      </c>
      <c r="B102" t="s">
        <v>16</v>
      </c>
      <c r="C102" s="2">
        <v>4</v>
      </c>
      <c r="D102" s="1">
        <v>0.5</v>
      </c>
      <c r="E102" s="4">
        <v>2</v>
      </c>
      <c r="F102" t="e">
        <f>VLOOKUP(A102,#REF!,2,FALSE)</f>
        <v>#REF!</v>
      </c>
    </row>
    <row r="103" spans="1:6" x14ac:dyDescent="0.5">
      <c r="A103" t="s">
        <v>18</v>
      </c>
      <c r="B103" t="s">
        <v>21</v>
      </c>
      <c r="C103" s="2">
        <v>3</v>
      </c>
      <c r="D103" s="1">
        <v>0.66666666666666663</v>
      </c>
      <c r="E103" s="4">
        <v>2</v>
      </c>
      <c r="F103" t="e">
        <f>VLOOKUP(A103,#REF!,2,FALSE)</f>
        <v>#REF!</v>
      </c>
    </row>
    <row r="104" spans="1:6" x14ac:dyDescent="0.5">
      <c r="A104" t="s">
        <v>15</v>
      </c>
      <c r="B104" t="s">
        <v>17</v>
      </c>
      <c r="C104" s="2">
        <v>2</v>
      </c>
      <c r="D104" s="1">
        <v>0.5</v>
      </c>
      <c r="E104" s="4">
        <v>1</v>
      </c>
      <c r="F104" t="e">
        <f>VLOOKUP(A104,#REF!,2,FALSE)</f>
        <v>#REF!</v>
      </c>
    </row>
    <row r="105" spans="1:6" x14ac:dyDescent="0.5">
      <c r="A105" t="s">
        <v>8</v>
      </c>
      <c r="B105" t="s">
        <v>5</v>
      </c>
      <c r="C105" s="2">
        <v>3</v>
      </c>
      <c r="D105" s="1">
        <v>0.66666666666666663</v>
      </c>
      <c r="E105" s="4">
        <v>2</v>
      </c>
      <c r="F105" t="e">
        <f>VLOOKUP(A105,#REF!,2,FALSE)</f>
        <v>#REF!</v>
      </c>
    </row>
    <row r="106" spans="1:6" x14ac:dyDescent="0.5">
      <c r="A106" t="s">
        <v>13</v>
      </c>
      <c r="B106" t="s">
        <v>17</v>
      </c>
      <c r="C106" s="2">
        <v>2</v>
      </c>
      <c r="D106" s="1">
        <v>0.5</v>
      </c>
      <c r="E106" s="4">
        <v>1</v>
      </c>
      <c r="F106" t="e">
        <f>VLOOKUP(A106,#REF!,2,FALSE)</f>
        <v>#REF!</v>
      </c>
    </row>
    <row r="107" spans="1:6" x14ac:dyDescent="0.5">
      <c r="A107" t="s">
        <v>8</v>
      </c>
      <c r="B107" t="s">
        <v>5</v>
      </c>
      <c r="C107" s="2">
        <v>3</v>
      </c>
      <c r="D107" s="1">
        <v>0.66666666666666663</v>
      </c>
      <c r="E107" s="4">
        <v>2</v>
      </c>
      <c r="F107" t="e">
        <f>VLOOKUP(A107,#REF!,2,FALSE)</f>
        <v>#REF!</v>
      </c>
    </row>
    <row r="108" spans="1:6" x14ac:dyDescent="0.5">
      <c r="A108" t="s">
        <v>11</v>
      </c>
      <c r="B108" t="s">
        <v>16</v>
      </c>
      <c r="C108" s="2">
        <v>2.5</v>
      </c>
      <c r="D108" s="1">
        <v>0.8</v>
      </c>
      <c r="E108" s="4">
        <v>2</v>
      </c>
      <c r="F108" t="e">
        <f>VLOOKUP(A108,#REF!,2,FALSE)</f>
        <v>#REF!</v>
      </c>
    </row>
    <row r="109" spans="1:6" x14ac:dyDescent="0.5">
      <c r="A109" t="s">
        <v>12</v>
      </c>
      <c r="B109" t="s">
        <v>16</v>
      </c>
      <c r="C109" s="2">
        <v>3</v>
      </c>
      <c r="D109" s="1">
        <v>0.83333333333333337</v>
      </c>
      <c r="E109" s="4">
        <v>2.5</v>
      </c>
      <c r="F109" t="e">
        <f>VLOOKUP(A109,#REF!,2,FALSE)</f>
        <v>#REF!</v>
      </c>
    </row>
    <row r="110" spans="1:6" x14ac:dyDescent="0.5">
      <c r="A110" t="s">
        <v>8</v>
      </c>
      <c r="B110" t="s">
        <v>5</v>
      </c>
      <c r="C110" s="2">
        <v>3</v>
      </c>
      <c r="D110" s="1">
        <v>0.66666666666666663</v>
      </c>
      <c r="E110" s="4">
        <v>2</v>
      </c>
      <c r="F110" t="e">
        <f>VLOOKUP(A110,#REF!,2,FALSE)</f>
        <v>#REF!</v>
      </c>
    </row>
    <row r="111" spans="1:6" x14ac:dyDescent="0.5">
      <c r="A111" t="s">
        <v>18</v>
      </c>
      <c r="B111" t="s">
        <v>21</v>
      </c>
      <c r="C111" s="2">
        <v>3</v>
      </c>
      <c r="D111" s="1">
        <v>0.66666666666666663</v>
      </c>
      <c r="E111" s="4">
        <v>2</v>
      </c>
      <c r="F111" t="e">
        <f>VLOOKUP(A111,#REF!,2,FALSE)</f>
        <v>#REF!</v>
      </c>
    </row>
    <row r="112" spans="1:6" x14ac:dyDescent="0.5">
      <c r="A112" t="s">
        <v>15</v>
      </c>
      <c r="B112" t="s">
        <v>17</v>
      </c>
      <c r="C112" s="2">
        <v>2</v>
      </c>
      <c r="D112" s="1">
        <v>0.5</v>
      </c>
      <c r="E112" s="4">
        <v>1</v>
      </c>
      <c r="F112" t="e">
        <f>VLOOKUP(A112,#REF!,2,FALSE)</f>
        <v>#REF!</v>
      </c>
    </row>
    <row r="113" spans="1:6" x14ac:dyDescent="0.5">
      <c r="A113" t="s">
        <v>12</v>
      </c>
      <c r="B113" t="s">
        <v>16</v>
      </c>
      <c r="C113" s="2">
        <v>3</v>
      </c>
      <c r="D113" s="1">
        <v>0.83333333333333337</v>
      </c>
      <c r="E113" s="4">
        <v>2.5</v>
      </c>
      <c r="F113" t="e">
        <f>VLOOKUP(A113,#REF!,2,FALSE)</f>
        <v>#REF!</v>
      </c>
    </row>
    <row r="114" spans="1:6" x14ac:dyDescent="0.5">
      <c r="A114" t="s">
        <v>4</v>
      </c>
      <c r="B114" t="s">
        <v>5</v>
      </c>
      <c r="C114" s="2">
        <v>1.5</v>
      </c>
      <c r="D114" s="1">
        <v>0.66666666666666663</v>
      </c>
      <c r="E114" s="4">
        <v>1</v>
      </c>
      <c r="F114" t="e">
        <f>VLOOKUP(A114,#REF!,2,FALSE)</f>
        <v>#REF!</v>
      </c>
    </row>
    <row r="115" spans="1:6" x14ac:dyDescent="0.5">
      <c r="A115" t="s">
        <v>11</v>
      </c>
      <c r="B115" t="s">
        <v>16</v>
      </c>
      <c r="C115" s="2">
        <v>2.5</v>
      </c>
      <c r="D115" s="1">
        <v>0.8</v>
      </c>
      <c r="E115" s="4">
        <v>2</v>
      </c>
      <c r="F115" t="e">
        <f>VLOOKUP(A115,#REF!,2,FALSE)</f>
        <v>#REF!</v>
      </c>
    </row>
    <row r="116" spans="1:6" x14ac:dyDescent="0.5">
      <c r="A116" t="s">
        <v>7</v>
      </c>
      <c r="B116" t="s">
        <v>5</v>
      </c>
      <c r="C116" s="2">
        <v>2</v>
      </c>
      <c r="D116" s="1">
        <v>0.25</v>
      </c>
      <c r="E116" s="4">
        <v>0.5</v>
      </c>
      <c r="F116" t="e">
        <f>VLOOKUP(A116,#REF!,2,FALSE)</f>
        <v>#REF!</v>
      </c>
    </row>
    <row r="117" spans="1:6" x14ac:dyDescent="0.5">
      <c r="A117" t="s">
        <v>9</v>
      </c>
      <c r="B117" t="s">
        <v>5</v>
      </c>
      <c r="C117" s="2">
        <v>5</v>
      </c>
      <c r="D117" s="1">
        <v>0.8</v>
      </c>
      <c r="E117" s="4">
        <v>4</v>
      </c>
      <c r="F117" t="e">
        <f>VLOOKUP(A117,#REF!,2,FALSE)</f>
        <v>#REF!</v>
      </c>
    </row>
    <row r="118" spans="1:6" x14ac:dyDescent="0.5">
      <c r="A118" t="s">
        <v>9</v>
      </c>
      <c r="B118" t="s">
        <v>5</v>
      </c>
      <c r="C118" s="2">
        <v>5</v>
      </c>
      <c r="D118" s="1">
        <v>0.8</v>
      </c>
      <c r="E118" s="4">
        <v>4</v>
      </c>
      <c r="F118" t="e">
        <f>VLOOKUP(A118,#REF!,2,FALSE)</f>
        <v>#REF!</v>
      </c>
    </row>
    <row r="119" spans="1:6" x14ac:dyDescent="0.5">
      <c r="A119" t="s">
        <v>18</v>
      </c>
      <c r="B119" t="s">
        <v>21</v>
      </c>
      <c r="C119" s="2">
        <v>3</v>
      </c>
      <c r="D119" s="1">
        <v>0.66666666666666663</v>
      </c>
      <c r="E119" s="4">
        <v>2</v>
      </c>
      <c r="F119" t="e">
        <f>VLOOKUP(A119,#REF!,2,FALSE)</f>
        <v>#REF!</v>
      </c>
    </row>
    <row r="120" spans="1:6" x14ac:dyDescent="0.5">
      <c r="A120" t="s">
        <v>9</v>
      </c>
      <c r="B120" t="s">
        <v>5</v>
      </c>
      <c r="C120" s="2">
        <v>5</v>
      </c>
      <c r="D120" s="1">
        <v>0.8</v>
      </c>
      <c r="E120" s="4">
        <v>4</v>
      </c>
      <c r="F120" t="e">
        <f>VLOOKUP(A120,#REF!,2,FALSE)</f>
        <v>#REF!</v>
      </c>
    </row>
    <row r="121" spans="1:6" x14ac:dyDescent="0.5">
      <c r="A121" t="s">
        <v>12</v>
      </c>
      <c r="B121" t="s">
        <v>16</v>
      </c>
      <c r="C121" s="2">
        <v>3</v>
      </c>
      <c r="D121" s="1">
        <v>0.83333333333333337</v>
      </c>
      <c r="E121" s="4">
        <v>2.5</v>
      </c>
      <c r="F121" t="e">
        <f>VLOOKUP(A121,#REF!,2,FALSE)</f>
        <v>#REF!</v>
      </c>
    </row>
    <row r="122" spans="1:6" x14ac:dyDescent="0.5">
      <c r="A122" t="s">
        <v>13</v>
      </c>
      <c r="B122" t="s">
        <v>17</v>
      </c>
      <c r="C122" s="2">
        <v>2</v>
      </c>
      <c r="D122" s="1">
        <v>0.5</v>
      </c>
      <c r="E122" s="4">
        <v>1</v>
      </c>
      <c r="F122" t="e">
        <f>VLOOKUP(A122,#REF!,2,FALSE)</f>
        <v>#REF!</v>
      </c>
    </row>
    <row r="123" spans="1:6" x14ac:dyDescent="0.5">
      <c r="A123" t="s">
        <v>12</v>
      </c>
      <c r="B123" t="s">
        <v>16</v>
      </c>
      <c r="C123" s="2">
        <v>3</v>
      </c>
      <c r="D123" s="1">
        <v>0.83333333333333337</v>
      </c>
      <c r="E123" s="4">
        <v>2.5</v>
      </c>
      <c r="F123" t="e">
        <f>VLOOKUP(A123,#REF!,2,FALSE)</f>
        <v>#REF!</v>
      </c>
    </row>
    <row r="124" spans="1:6" x14ac:dyDescent="0.5">
      <c r="A124" t="s">
        <v>18</v>
      </c>
      <c r="B124" t="s">
        <v>21</v>
      </c>
      <c r="C124" s="2">
        <v>3</v>
      </c>
      <c r="D124" s="1">
        <v>0.66666666666666663</v>
      </c>
      <c r="E124" s="4">
        <v>2</v>
      </c>
      <c r="F124" t="e">
        <f>VLOOKUP(A124,#REF!,2,FALSE)</f>
        <v>#REF!</v>
      </c>
    </row>
    <row r="125" spans="1:6" x14ac:dyDescent="0.5">
      <c r="A125" t="s">
        <v>7</v>
      </c>
      <c r="B125" t="s">
        <v>5</v>
      </c>
      <c r="C125" s="2">
        <v>2</v>
      </c>
      <c r="D125" s="1">
        <v>0.25</v>
      </c>
      <c r="E125" s="4">
        <v>0.5</v>
      </c>
      <c r="F125" t="e">
        <f>VLOOKUP(A125,#REF!,2,FALSE)</f>
        <v>#REF!</v>
      </c>
    </row>
    <row r="126" spans="1:6" x14ac:dyDescent="0.5">
      <c r="A126" t="s">
        <v>7</v>
      </c>
      <c r="B126" t="s">
        <v>5</v>
      </c>
      <c r="C126" s="2">
        <v>2</v>
      </c>
      <c r="D126" s="1">
        <v>0.25</v>
      </c>
      <c r="E126" s="4">
        <v>0.5</v>
      </c>
      <c r="F126" t="e">
        <f>VLOOKUP(A126,#REF!,2,FALSE)</f>
        <v>#REF!</v>
      </c>
    </row>
    <row r="127" spans="1:6" x14ac:dyDescent="0.5">
      <c r="A127" t="s">
        <v>18</v>
      </c>
      <c r="B127" t="s">
        <v>21</v>
      </c>
      <c r="C127" s="2">
        <v>3</v>
      </c>
      <c r="D127" s="1">
        <v>0.66666666666666663</v>
      </c>
      <c r="E127" s="4">
        <v>2</v>
      </c>
      <c r="F127" t="e">
        <f>VLOOKUP(A127,#REF!,2,FALSE)</f>
        <v>#REF!</v>
      </c>
    </row>
    <row r="128" spans="1:6" x14ac:dyDescent="0.5">
      <c r="A128" t="s">
        <v>7</v>
      </c>
      <c r="B128" t="s">
        <v>5</v>
      </c>
      <c r="C128" s="2">
        <v>2</v>
      </c>
      <c r="D128" s="1">
        <v>0.25</v>
      </c>
      <c r="E128" s="4">
        <v>0.5</v>
      </c>
      <c r="F128" t="e">
        <f>VLOOKUP(A128,#REF!,2,FALSE)</f>
        <v>#REF!</v>
      </c>
    </row>
    <row r="129" spans="1:6" x14ac:dyDescent="0.5">
      <c r="A129" t="s">
        <v>15</v>
      </c>
      <c r="B129" t="s">
        <v>17</v>
      </c>
      <c r="C129" s="2">
        <v>2</v>
      </c>
      <c r="D129" s="1">
        <v>0.5</v>
      </c>
      <c r="E129" s="4">
        <v>1</v>
      </c>
      <c r="F129" t="e">
        <f>VLOOKUP(A129,#REF!,2,FALSE)</f>
        <v>#REF!</v>
      </c>
    </row>
    <row r="130" spans="1:6" x14ac:dyDescent="0.5">
      <c r="A130" t="s">
        <v>14</v>
      </c>
      <c r="B130" t="s">
        <v>17</v>
      </c>
      <c r="C130" s="2">
        <v>2</v>
      </c>
      <c r="D130" s="1">
        <v>0.75</v>
      </c>
      <c r="E130" s="4">
        <v>1.5</v>
      </c>
      <c r="F130" t="e">
        <f>VLOOKUP(A130,#REF!,2,FALSE)</f>
        <v>#REF!</v>
      </c>
    </row>
    <row r="131" spans="1:6" x14ac:dyDescent="0.5">
      <c r="A131" t="s">
        <v>10</v>
      </c>
      <c r="B131" t="s">
        <v>16</v>
      </c>
      <c r="C131" s="2">
        <v>4</v>
      </c>
      <c r="D131" s="1">
        <v>0.5</v>
      </c>
      <c r="E131" s="4">
        <v>2</v>
      </c>
      <c r="F131" t="e">
        <f>VLOOKUP(A131,#REF!,2,FALSE)</f>
        <v>#REF!</v>
      </c>
    </row>
    <row r="132" spans="1:6" x14ac:dyDescent="0.5">
      <c r="A132" t="s">
        <v>18</v>
      </c>
      <c r="B132" t="s">
        <v>21</v>
      </c>
      <c r="C132" s="2">
        <v>3</v>
      </c>
      <c r="D132" s="1">
        <v>0.66666666666666663</v>
      </c>
      <c r="E132" s="4">
        <v>2</v>
      </c>
      <c r="F132" t="e">
        <f>VLOOKUP(A132,#REF!,2,FALSE)</f>
        <v>#REF!</v>
      </c>
    </row>
    <row r="133" spans="1:6" x14ac:dyDescent="0.5">
      <c r="A133" t="s">
        <v>6</v>
      </c>
      <c r="B133" t="s">
        <v>5</v>
      </c>
      <c r="C133" s="2">
        <v>3</v>
      </c>
      <c r="D133" s="1">
        <v>0.5</v>
      </c>
      <c r="E133" s="4">
        <v>1.5</v>
      </c>
      <c r="F133" t="e">
        <f>VLOOKUP(A133,#REF!,2,FALSE)</f>
        <v>#REF!</v>
      </c>
    </row>
    <row r="134" spans="1:6" x14ac:dyDescent="0.5">
      <c r="A134" t="s">
        <v>12</v>
      </c>
      <c r="B134" t="s">
        <v>16</v>
      </c>
      <c r="C134" s="2">
        <v>3</v>
      </c>
      <c r="D134" s="1">
        <v>0.83333333333333337</v>
      </c>
      <c r="E134" s="4">
        <v>2.5</v>
      </c>
      <c r="F134" t="e">
        <f>VLOOKUP(A134,#REF!,2,FALSE)</f>
        <v>#REF!</v>
      </c>
    </row>
    <row r="135" spans="1:6" x14ac:dyDescent="0.5">
      <c r="A135" t="s">
        <v>10</v>
      </c>
      <c r="B135" t="s">
        <v>16</v>
      </c>
      <c r="C135" s="2">
        <v>4</v>
      </c>
      <c r="D135" s="1">
        <v>0.5</v>
      </c>
      <c r="E135" s="4">
        <v>2</v>
      </c>
      <c r="F135" t="e">
        <f>VLOOKUP(A135,#REF!,2,FALSE)</f>
        <v>#REF!</v>
      </c>
    </row>
    <row r="136" spans="1:6" x14ac:dyDescent="0.5">
      <c r="A136" t="s">
        <v>8</v>
      </c>
      <c r="B136" t="s">
        <v>5</v>
      </c>
      <c r="C136" s="2">
        <v>3</v>
      </c>
      <c r="D136" s="1">
        <v>0.66666666666666663</v>
      </c>
      <c r="E136" s="4">
        <v>2</v>
      </c>
      <c r="F136" t="e">
        <f>VLOOKUP(A136,#REF!,2,FALSE)</f>
        <v>#REF!</v>
      </c>
    </row>
    <row r="137" spans="1:6" x14ac:dyDescent="0.5">
      <c r="A137" t="s">
        <v>14</v>
      </c>
      <c r="B137" t="s">
        <v>17</v>
      </c>
      <c r="C137" s="2">
        <v>2</v>
      </c>
      <c r="D137" s="1">
        <v>0.75</v>
      </c>
      <c r="E137" s="4">
        <v>1.5</v>
      </c>
      <c r="F137" t="e">
        <f>VLOOKUP(A137,#REF!,2,FALSE)</f>
        <v>#REF!</v>
      </c>
    </row>
    <row r="138" spans="1:6" x14ac:dyDescent="0.5">
      <c r="A138" t="s">
        <v>9</v>
      </c>
      <c r="B138" t="s">
        <v>5</v>
      </c>
      <c r="C138" s="2">
        <v>5</v>
      </c>
      <c r="D138" s="1">
        <v>0.8</v>
      </c>
      <c r="E138" s="4">
        <v>4</v>
      </c>
      <c r="F138" t="e">
        <f>VLOOKUP(A138,#REF!,2,FALSE)</f>
        <v>#REF!</v>
      </c>
    </row>
    <row r="139" spans="1:6" x14ac:dyDescent="0.5">
      <c r="A139" t="s">
        <v>8</v>
      </c>
      <c r="B139" t="s">
        <v>5</v>
      </c>
      <c r="C139" s="2">
        <v>3</v>
      </c>
      <c r="D139" s="1">
        <v>0.66666666666666663</v>
      </c>
      <c r="E139" s="4">
        <v>2</v>
      </c>
      <c r="F139" t="e">
        <f>VLOOKUP(A139,#REF!,2,FALSE)</f>
        <v>#REF!</v>
      </c>
    </row>
    <row r="140" spans="1:6" x14ac:dyDescent="0.5">
      <c r="A140" t="s">
        <v>11</v>
      </c>
      <c r="B140" t="s">
        <v>16</v>
      </c>
      <c r="C140" s="2">
        <v>2.5</v>
      </c>
      <c r="D140" s="1">
        <v>0.8</v>
      </c>
      <c r="E140" s="4">
        <v>2</v>
      </c>
      <c r="F140" t="e">
        <f>VLOOKUP(A140,#REF!,2,FALSE)</f>
        <v>#REF!</v>
      </c>
    </row>
    <row r="141" spans="1:6" x14ac:dyDescent="0.5">
      <c r="A141" t="s">
        <v>7</v>
      </c>
      <c r="B141" t="s">
        <v>5</v>
      </c>
      <c r="C141" s="2">
        <v>2</v>
      </c>
      <c r="D141" s="1">
        <v>0.25</v>
      </c>
      <c r="E141" s="4">
        <v>0.5</v>
      </c>
      <c r="F141" t="e">
        <f>VLOOKUP(A141,#REF!,2,FALSE)</f>
        <v>#REF!</v>
      </c>
    </row>
    <row r="142" spans="1:6" x14ac:dyDescent="0.5">
      <c r="A142" t="s">
        <v>4</v>
      </c>
      <c r="B142" t="s">
        <v>5</v>
      </c>
      <c r="C142" s="2">
        <v>1.5</v>
      </c>
      <c r="D142" s="1">
        <v>0.66666666666666663</v>
      </c>
      <c r="E142" s="4">
        <v>1</v>
      </c>
      <c r="F142" t="e">
        <f>VLOOKUP(A142,#REF!,2,FALSE)</f>
        <v>#REF!</v>
      </c>
    </row>
    <row r="143" spans="1:6" x14ac:dyDescent="0.5">
      <c r="A143" t="s">
        <v>4</v>
      </c>
      <c r="B143" t="s">
        <v>5</v>
      </c>
      <c r="C143" s="2">
        <v>1.5</v>
      </c>
      <c r="D143" s="1">
        <v>0.66666666666666663</v>
      </c>
      <c r="E143" s="4">
        <v>1</v>
      </c>
      <c r="F143" t="e">
        <f>VLOOKUP(A143,#REF!,2,FALSE)</f>
        <v>#REF!</v>
      </c>
    </row>
    <row r="144" spans="1:6" x14ac:dyDescent="0.5">
      <c r="A144" t="s">
        <v>6</v>
      </c>
      <c r="B144" t="s">
        <v>5</v>
      </c>
      <c r="C144" s="2">
        <v>3</v>
      </c>
      <c r="D144" s="1">
        <v>0.5</v>
      </c>
      <c r="E144" s="4">
        <v>1.5</v>
      </c>
      <c r="F144" t="e">
        <f>VLOOKUP(A144,#REF!,2,FALSE)</f>
        <v>#REF!</v>
      </c>
    </row>
    <row r="145" spans="1:6" x14ac:dyDescent="0.5">
      <c r="A145" t="s">
        <v>8</v>
      </c>
      <c r="B145" t="s">
        <v>5</v>
      </c>
      <c r="C145" s="2">
        <v>3</v>
      </c>
      <c r="D145" s="1">
        <v>0.66666666666666663</v>
      </c>
      <c r="E145" s="4">
        <v>2</v>
      </c>
      <c r="F145" t="e">
        <f>VLOOKUP(A145,#REF!,2,FALSE)</f>
        <v>#REF!</v>
      </c>
    </row>
    <row r="146" spans="1:6" x14ac:dyDescent="0.5">
      <c r="A146" t="s">
        <v>6</v>
      </c>
      <c r="B146" t="s">
        <v>5</v>
      </c>
      <c r="C146" s="2">
        <v>3</v>
      </c>
      <c r="D146" s="1">
        <v>0.5</v>
      </c>
      <c r="E146" s="4">
        <v>1.5</v>
      </c>
      <c r="F146" t="e">
        <f>VLOOKUP(A146,#REF!,2,FALSE)</f>
        <v>#REF!</v>
      </c>
    </row>
    <row r="147" spans="1:6" x14ac:dyDescent="0.5">
      <c r="A147" t="s">
        <v>8</v>
      </c>
      <c r="B147" t="s">
        <v>5</v>
      </c>
      <c r="C147" s="2">
        <v>3</v>
      </c>
      <c r="D147" s="1">
        <v>0.66666666666666663</v>
      </c>
      <c r="E147" s="4">
        <v>2</v>
      </c>
      <c r="F147" t="e">
        <f>VLOOKUP(A147,#REF!,2,FALSE)</f>
        <v>#REF!</v>
      </c>
    </row>
    <row r="148" spans="1:6" x14ac:dyDescent="0.5">
      <c r="A148" t="s">
        <v>4</v>
      </c>
      <c r="B148" t="s">
        <v>5</v>
      </c>
      <c r="C148" s="2">
        <v>1.5</v>
      </c>
      <c r="D148" s="1">
        <v>0.66666666666666663</v>
      </c>
      <c r="E148" s="4">
        <v>1</v>
      </c>
      <c r="F148" t="e">
        <f>VLOOKUP(A148,#REF!,2,FALSE)</f>
        <v>#REF!</v>
      </c>
    </row>
    <row r="149" spans="1:6" x14ac:dyDescent="0.5">
      <c r="A149" t="s">
        <v>6</v>
      </c>
      <c r="B149" t="s">
        <v>5</v>
      </c>
      <c r="C149" s="2">
        <v>3</v>
      </c>
      <c r="D149" s="1">
        <v>0.5</v>
      </c>
      <c r="E149" s="4">
        <v>1.5</v>
      </c>
      <c r="F149" t="e">
        <f>VLOOKUP(A149,#REF!,2,FALSE)</f>
        <v>#REF!</v>
      </c>
    </row>
    <row r="150" spans="1:6" x14ac:dyDescent="0.5">
      <c r="A150" t="s">
        <v>20</v>
      </c>
      <c r="B150" t="s">
        <v>21</v>
      </c>
      <c r="C150" s="2">
        <v>3</v>
      </c>
      <c r="D150" s="1">
        <v>0.83333333333333337</v>
      </c>
      <c r="E150" s="4">
        <v>2.5</v>
      </c>
      <c r="F150" t="e">
        <f>VLOOKUP(A150,#REF!,2,FALSE)</f>
        <v>#REF!</v>
      </c>
    </row>
    <row r="151" spans="1:6" x14ac:dyDescent="0.5">
      <c r="A151" t="s">
        <v>9</v>
      </c>
      <c r="B151" t="s">
        <v>5</v>
      </c>
      <c r="C151" s="2">
        <v>5</v>
      </c>
      <c r="D151" s="1">
        <v>0.8</v>
      </c>
      <c r="E151" s="4">
        <v>4</v>
      </c>
      <c r="F151" t="e">
        <f>VLOOKUP(A151,#REF!,2,FALSE)</f>
        <v>#REF!</v>
      </c>
    </row>
    <row r="152" spans="1:6" x14ac:dyDescent="0.5">
      <c r="A152" t="s">
        <v>9</v>
      </c>
      <c r="B152" t="s">
        <v>5</v>
      </c>
      <c r="C152" s="2">
        <v>5</v>
      </c>
      <c r="D152" s="1">
        <v>0.8</v>
      </c>
      <c r="E152" s="4">
        <v>4</v>
      </c>
      <c r="F152" t="e">
        <f>VLOOKUP(A152,#REF!,2,FALSE)</f>
        <v>#REF!</v>
      </c>
    </row>
    <row r="153" spans="1:6" x14ac:dyDescent="0.5">
      <c r="A153" t="s">
        <v>12</v>
      </c>
      <c r="B153" t="s">
        <v>16</v>
      </c>
      <c r="C153" s="2">
        <v>3</v>
      </c>
      <c r="D153" s="1">
        <v>0.83333333333333337</v>
      </c>
      <c r="E153" s="4">
        <v>2.5</v>
      </c>
      <c r="F153" t="e">
        <f>VLOOKUP(A153,#REF!,2,FALSE)</f>
        <v>#REF!</v>
      </c>
    </row>
    <row r="154" spans="1:6" x14ac:dyDescent="0.5">
      <c r="A154" t="s">
        <v>8</v>
      </c>
      <c r="B154" t="s">
        <v>5</v>
      </c>
      <c r="C154" s="2">
        <v>3</v>
      </c>
      <c r="D154" s="1">
        <v>0.66666666666666663</v>
      </c>
      <c r="E154" s="4">
        <v>2</v>
      </c>
      <c r="F154" t="e">
        <f>VLOOKUP(A154,#REF!,2,FALSE)</f>
        <v>#REF!</v>
      </c>
    </row>
    <row r="155" spans="1:6" x14ac:dyDescent="0.5">
      <c r="A155" t="s">
        <v>7</v>
      </c>
      <c r="B155" t="s">
        <v>5</v>
      </c>
      <c r="C155" s="2">
        <v>2</v>
      </c>
      <c r="D155" s="1">
        <v>0.25</v>
      </c>
      <c r="E155" s="4">
        <v>0.5</v>
      </c>
      <c r="F155" t="e">
        <f>VLOOKUP(A155,#REF!,2,FALSE)</f>
        <v>#REF!</v>
      </c>
    </row>
    <row r="156" spans="1:6" x14ac:dyDescent="0.5">
      <c r="A156" t="s">
        <v>20</v>
      </c>
      <c r="B156" t="s">
        <v>21</v>
      </c>
      <c r="C156" s="2">
        <v>3</v>
      </c>
      <c r="D156" s="1">
        <v>0.83333333333333337</v>
      </c>
      <c r="E156" s="4">
        <v>2.5</v>
      </c>
      <c r="F156" t="e">
        <f>VLOOKUP(A156,#REF!,2,FALSE)</f>
        <v>#REF!</v>
      </c>
    </row>
    <row r="157" spans="1:6" x14ac:dyDescent="0.5">
      <c r="A157" t="s">
        <v>7</v>
      </c>
      <c r="B157" t="s">
        <v>5</v>
      </c>
      <c r="C157" s="2">
        <v>2</v>
      </c>
      <c r="D157" s="1">
        <v>0.25</v>
      </c>
      <c r="E157" s="4">
        <v>0.5</v>
      </c>
      <c r="F157" t="e">
        <f>VLOOKUP(A157,#REF!,2,FALSE)</f>
        <v>#REF!</v>
      </c>
    </row>
    <row r="158" spans="1:6" x14ac:dyDescent="0.5">
      <c r="A158" t="s">
        <v>9</v>
      </c>
      <c r="B158" t="s">
        <v>5</v>
      </c>
      <c r="C158" s="2">
        <v>5</v>
      </c>
      <c r="D158" s="1">
        <v>0.8</v>
      </c>
      <c r="E158" s="4">
        <v>4</v>
      </c>
      <c r="F158" t="e">
        <f>VLOOKUP(A158,#REF!,2,FALSE)</f>
        <v>#REF!</v>
      </c>
    </row>
    <row r="159" spans="1:6" x14ac:dyDescent="0.5">
      <c r="A159" t="s">
        <v>11</v>
      </c>
      <c r="B159" t="s">
        <v>16</v>
      </c>
      <c r="C159" s="2">
        <v>2.5</v>
      </c>
      <c r="D159" s="1">
        <v>0.8</v>
      </c>
      <c r="E159" s="4">
        <v>2</v>
      </c>
      <c r="F159" t="e">
        <f>VLOOKUP(A159,#REF!,2,FALSE)</f>
        <v>#REF!</v>
      </c>
    </row>
    <row r="160" spans="1:6" x14ac:dyDescent="0.5">
      <c r="A160" t="s">
        <v>6</v>
      </c>
      <c r="B160" t="s">
        <v>5</v>
      </c>
      <c r="C160" s="2">
        <v>3</v>
      </c>
      <c r="D160" s="1">
        <v>0.5</v>
      </c>
      <c r="E160" s="4">
        <v>1.5</v>
      </c>
      <c r="F160" t="e">
        <f>VLOOKUP(A160,#REF!,2,FALSE)</f>
        <v>#REF!</v>
      </c>
    </row>
    <row r="161" spans="1:6" x14ac:dyDescent="0.5">
      <c r="A161" t="s">
        <v>15</v>
      </c>
      <c r="B161" t="s">
        <v>17</v>
      </c>
      <c r="C161" s="2">
        <v>2</v>
      </c>
      <c r="D161" s="1">
        <v>0.5</v>
      </c>
      <c r="E161" s="4">
        <v>1</v>
      </c>
      <c r="F161" t="e">
        <f>VLOOKUP(A161,#REF!,2,FALSE)</f>
        <v>#REF!</v>
      </c>
    </row>
    <row r="162" spans="1:6" x14ac:dyDescent="0.5">
      <c r="A162" t="s">
        <v>6</v>
      </c>
      <c r="B162" t="s">
        <v>5</v>
      </c>
      <c r="C162" s="2">
        <v>3</v>
      </c>
      <c r="D162" s="1">
        <v>0.5</v>
      </c>
      <c r="E162" s="4">
        <v>1.5</v>
      </c>
      <c r="F162" t="e">
        <f>VLOOKUP(A162,#REF!,2,FALSE)</f>
        <v>#REF!</v>
      </c>
    </row>
    <row r="163" spans="1:6" x14ac:dyDescent="0.5">
      <c r="A163" t="s">
        <v>13</v>
      </c>
      <c r="B163" t="s">
        <v>17</v>
      </c>
      <c r="C163" s="2">
        <v>2</v>
      </c>
      <c r="D163" s="1">
        <v>0.5</v>
      </c>
      <c r="E163" s="4">
        <v>1</v>
      </c>
      <c r="F163" t="e">
        <f>VLOOKUP(A163,#REF!,2,FALSE)</f>
        <v>#REF!</v>
      </c>
    </row>
    <row r="164" spans="1:6" x14ac:dyDescent="0.5">
      <c r="A164" t="s">
        <v>20</v>
      </c>
      <c r="B164" t="s">
        <v>21</v>
      </c>
      <c r="C164" s="2">
        <v>3</v>
      </c>
      <c r="D164" s="1">
        <v>0.83333333333333337</v>
      </c>
      <c r="E164" s="4">
        <v>2.5</v>
      </c>
      <c r="F164" t="e">
        <f>VLOOKUP(A164,#REF!,2,FALSE)</f>
        <v>#REF!</v>
      </c>
    </row>
    <row r="165" spans="1:6" x14ac:dyDescent="0.5">
      <c r="A165" t="s">
        <v>9</v>
      </c>
      <c r="B165" t="s">
        <v>5</v>
      </c>
      <c r="C165" s="2">
        <v>5</v>
      </c>
      <c r="D165" s="1">
        <v>0.8</v>
      </c>
      <c r="E165" s="4">
        <v>4</v>
      </c>
      <c r="F165" t="e">
        <f>VLOOKUP(A165,#REF!,2,FALSE)</f>
        <v>#REF!</v>
      </c>
    </row>
    <row r="166" spans="1:6" x14ac:dyDescent="0.5">
      <c r="A166" t="s">
        <v>20</v>
      </c>
      <c r="B166" t="s">
        <v>21</v>
      </c>
      <c r="C166" s="2">
        <v>3</v>
      </c>
      <c r="D166" s="1">
        <v>0.83333333333333337</v>
      </c>
      <c r="E166" s="4">
        <v>2.5</v>
      </c>
      <c r="F166" t="e">
        <f>VLOOKUP(A166,#REF!,2,FALSE)</f>
        <v>#REF!</v>
      </c>
    </row>
    <row r="167" spans="1:6" x14ac:dyDescent="0.5">
      <c r="A167" t="s">
        <v>11</v>
      </c>
      <c r="B167" t="s">
        <v>16</v>
      </c>
      <c r="C167" s="2">
        <v>2.5</v>
      </c>
      <c r="D167" s="1">
        <v>0.8</v>
      </c>
      <c r="E167" s="4">
        <v>2</v>
      </c>
      <c r="F167" t="e">
        <f>VLOOKUP(A167,#REF!,2,FALSE)</f>
        <v>#REF!</v>
      </c>
    </row>
    <row r="168" spans="1:6" x14ac:dyDescent="0.5">
      <c r="A168" t="s">
        <v>14</v>
      </c>
      <c r="B168" t="s">
        <v>17</v>
      </c>
      <c r="C168" s="2">
        <v>2</v>
      </c>
      <c r="D168" s="1">
        <v>0.75</v>
      </c>
      <c r="E168" s="4">
        <v>1.5</v>
      </c>
      <c r="F168" t="e">
        <f>VLOOKUP(A168,#REF!,2,FALSE)</f>
        <v>#REF!</v>
      </c>
    </row>
    <row r="169" spans="1:6" x14ac:dyDescent="0.5">
      <c r="A169" t="s">
        <v>20</v>
      </c>
      <c r="B169" t="s">
        <v>21</v>
      </c>
      <c r="C169" s="2">
        <v>3</v>
      </c>
      <c r="D169" s="1">
        <v>0.83333333333333337</v>
      </c>
      <c r="E169" s="4">
        <v>2.5</v>
      </c>
      <c r="F169" t="e">
        <f>VLOOKUP(A169,#REF!,2,FALSE)</f>
        <v>#REF!</v>
      </c>
    </row>
    <row r="170" spans="1:6" x14ac:dyDescent="0.5">
      <c r="A170" t="s">
        <v>15</v>
      </c>
      <c r="B170" t="s">
        <v>17</v>
      </c>
      <c r="C170" s="2">
        <v>2</v>
      </c>
      <c r="D170" s="1">
        <v>0.5</v>
      </c>
      <c r="E170" s="4">
        <v>1</v>
      </c>
      <c r="F170" t="e">
        <f>VLOOKUP(A170,#REF!,2,FALSE)</f>
        <v>#REF!</v>
      </c>
    </row>
    <row r="171" spans="1:6" x14ac:dyDescent="0.5">
      <c r="A171" t="s">
        <v>14</v>
      </c>
      <c r="B171" t="s">
        <v>17</v>
      </c>
      <c r="C171" s="2">
        <v>2</v>
      </c>
      <c r="D171" s="1">
        <v>0.75</v>
      </c>
      <c r="E171" s="4">
        <v>1.5</v>
      </c>
      <c r="F171" t="e">
        <f>VLOOKUP(A171,#REF!,2,FALSE)</f>
        <v>#REF!</v>
      </c>
    </row>
    <row r="172" spans="1:6" x14ac:dyDescent="0.5">
      <c r="A172" t="s">
        <v>6</v>
      </c>
      <c r="B172" t="s">
        <v>5</v>
      </c>
      <c r="C172" s="2">
        <v>3</v>
      </c>
      <c r="D172" s="1">
        <v>0.5</v>
      </c>
      <c r="E172" s="4">
        <v>1.5</v>
      </c>
      <c r="F172" t="e">
        <f>VLOOKUP(A172,#REF!,2,FALSE)</f>
        <v>#REF!</v>
      </c>
    </row>
    <row r="173" spans="1:6" x14ac:dyDescent="0.5">
      <c r="A173" t="s">
        <v>13</v>
      </c>
      <c r="B173" t="s">
        <v>17</v>
      </c>
      <c r="C173" s="2">
        <v>2</v>
      </c>
      <c r="D173" s="1">
        <v>0.5</v>
      </c>
      <c r="E173" s="4">
        <v>1</v>
      </c>
      <c r="F173" t="e">
        <f>VLOOKUP(A173,#REF!,2,FALSE)</f>
        <v>#REF!</v>
      </c>
    </row>
    <row r="174" spans="1:6" x14ac:dyDescent="0.5">
      <c r="A174" t="s">
        <v>10</v>
      </c>
      <c r="B174" t="s">
        <v>16</v>
      </c>
      <c r="C174" s="2">
        <v>4</v>
      </c>
      <c r="D174" s="1">
        <v>0.5</v>
      </c>
      <c r="E174" s="4">
        <v>2</v>
      </c>
      <c r="F174" t="e">
        <f>VLOOKUP(A174,#REF!,2,FALSE)</f>
        <v>#REF!</v>
      </c>
    </row>
    <row r="175" spans="1:6" x14ac:dyDescent="0.5">
      <c r="A175" t="s">
        <v>20</v>
      </c>
      <c r="B175" t="s">
        <v>21</v>
      </c>
      <c r="C175" s="2">
        <v>3</v>
      </c>
      <c r="D175" s="1">
        <v>0.83333333333333337</v>
      </c>
      <c r="E175" s="4">
        <v>2.5</v>
      </c>
      <c r="F175" t="e">
        <f>VLOOKUP(A175,#REF!,2,FALSE)</f>
        <v>#REF!</v>
      </c>
    </row>
    <row r="176" spans="1:6" x14ac:dyDescent="0.5">
      <c r="A176" t="s">
        <v>20</v>
      </c>
      <c r="B176" t="s">
        <v>21</v>
      </c>
      <c r="C176" s="2">
        <v>3</v>
      </c>
      <c r="D176" s="1">
        <v>0.83333333333333337</v>
      </c>
      <c r="E176" s="4">
        <v>2.5</v>
      </c>
      <c r="F176" t="e">
        <f>VLOOKUP(A176,#REF!,2,FALSE)</f>
        <v>#REF!</v>
      </c>
    </row>
    <row r="177" spans="1:6" x14ac:dyDescent="0.5">
      <c r="A177" t="s">
        <v>20</v>
      </c>
      <c r="B177" t="s">
        <v>21</v>
      </c>
      <c r="C177" s="2">
        <v>3</v>
      </c>
      <c r="D177" s="1">
        <v>0.83333333333333337</v>
      </c>
      <c r="E177" s="4">
        <v>2.5</v>
      </c>
      <c r="F177" t="e">
        <f>VLOOKUP(A177,#REF!,2,FALSE)</f>
        <v>#REF!</v>
      </c>
    </row>
    <row r="178" spans="1:6" x14ac:dyDescent="0.5">
      <c r="A178" t="s">
        <v>10</v>
      </c>
      <c r="B178" t="s">
        <v>16</v>
      </c>
      <c r="C178" s="2">
        <v>4</v>
      </c>
      <c r="D178" s="1">
        <v>0.5</v>
      </c>
      <c r="E178" s="4">
        <v>2</v>
      </c>
      <c r="F178" t="e">
        <f>VLOOKUP(A178,#REF!,2,FALSE)</f>
        <v>#REF!</v>
      </c>
    </row>
    <row r="179" spans="1:6" x14ac:dyDescent="0.5">
      <c r="A179" t="s">
        <v>20</v>
      </c>
      <c r="B179" t="s">
        <v>21</v>
      </c>
      <c r="C179" s="2">
        <v>3</v>
      </c>
      <c r="D179" s="1">
        <v>0.83333333333333337</v>
      </c>
      <c r="E179" s="4">
        <v>2.5</v>
      </c>
      <c r="F179" t="e">
        <f>VLOOKUP(A179,#REF!,2,FALSE)</f>
        <v>#REF!</v>
      </c>
    </row>
    <row r="180" spans="1:6" x14ac:dyDescent="0.5">
      <c r="A180" t="s">
        <v>15</v>
      </c>
      <c r="B180" t="s">
        <v>17</v>
      </c>
      <c r="C180" s="2">
        <v>2</v>
      </c>
      <c r="D180" s="1">
        <v>0.5</v>
      </c>
      <c r="E180" s="4">
        <v>1</v>
      </c>
      <c r="F180" t="e">
        <f>VLOOKUP(A180,#REF!,2,FALSE)</f>
        <v>#REF!</v>
      </c>
    </row>
    <row r="181" spans="1:6" x14ac:dyDescent="0.5">
      <c r="A181" t="s">
        <v>7</v>
      </c>
      <c r="B181" t="s">
        <v>5</v>
      </c>
      <c r="C181" s="2">
        <v>2</v>
      </c>
      <c r="D181" s="1">
        <v>0.25</v>
      </c>
      <c r="E181" s="4">
        <v>0.5</v>
      </c>
      <c r="F181" t="e">
        <f>VLOOKUP(A181,#REF!,2,FALSE)</f>
        <v>#REF!</v>
      </c>
    </row>
    <row r="182" spans="1:6" x14ac:dyDescent="0.5">
      <c r="A182" t="s">
        <v>10</v>
      </c>
      <c r="B182" t="s">
        <v>16</v>
      </c>
      <c r="C182" s="2">
        <v>4</v>
      </c>
      <c r="D182" s="1">
        <v>0.5</v>
      </c>
      <c r="E182" s="4">
        <v>2</v>
      </c>
      <c r="F182" t="e">
        <f>VLOOKUP(A182,#REF!,2,FALSE)</f>
        <v>#REF!</v>
      </c>
    </row>
    <row r="183" spans="1:6" x14ac:dyDescent="0.5">
      <c r="A183" t="s">
        <v>9</v>
      </c>
      <c r="B183" t="s">
        <v>5</v>
      </c>
      <c r="C183" s="2">
        <v>5</v>
      </c>
      <c r="D183" s="1">
        <v>0.8</v>
      </c>
      <c r="E183" s="4">
        <v>4</v>
      </c>
      <c r="F183" t="e">
        <f>VLOOKUP(A183,#REF!,2,FALSE)</f>
        <v>#REF!</v>
      </c>
    </row>
    <row r="184" spans="1:6" x14ac:dyDescent="0.5">
      <c r="A184" t="s">
        <v>20</v>
      </c>
      <c r="B184" t="s">
        <v>21</v>
      </c>
      <c r="C184" s="2">
        <v>3</v>
      </c>
      <c r="D184" s="1">
        <v>0.83333333333333337</v>
      </c>
      <c r="E184" s="4">
        <v>2.5</v>
      </c>
      <c r="F184" t="e">
        <f>VLOOKUP(A184,#REF!,2,FALSE)</f>
        <v>#REF!</v>
      </c>
    </row>
    <row r="185" spans="1:6" x14ac:dyDescent="0.5">
      <c r="A185" t="s">
        <v>4</v>
      </c>
      <c r="B185" t="s">
        <v>5</v>
      </c>
      <c r="C185" s="2">
        <v>1.5</v>
      </c>
      <c r="D185" s="1">
        <v>0.66666666666666663</v>
      </c>
      <c r="E185" s="4">
        <v>1</v>
      </c>
      <c r="F185" t="e">
        <f>VLOOKUP(A185,#REF!,2,FALSE)</f>
        <v>#REF!</v>
      </c>
    </row>
    <row r="186" spans="1:6" x14ac:dyDescent="0.5">
      <c r="A186" t="s">
        <v>11</v>
      </c>
      <c r="B186" t="s">
        <v>16</v>
      </c>
      <c r="C186" s="2">
        <v>2.5</v>
      </c>
      <c r="D186" s="1">
        <v>0.8</v>
      </c>
      <c r="E186" s="4">
        <v>2</v>
      </c>
      <c r="F186" t="e">
        <f>VLOOKUP(A186,#REF!,2,FALSE)</f>
        <v>#REF!</v>
      </c>
    </row>
    <row r="187" spans="1:6" x14ac:dyDescent="0.5">
      <c r="A187" t="s">
        <v>13</v>
      </c>
      <c r="B187" t="s">
        <v>17</v>
      </c>
      <c r="C187" s="2">
        <v>2</v>
      </c>
      <c r="D187" s="1">
        <v>0.5</v>
      </c>
      <c r="E187" s="4">
        <v>1</v>
      </c>
      <c r="F187" t="e">
        <f>VLOOKUP(A187,#REF!,2,FALSE)</f>
        <v>#REF!</v>
      </c>
    </row>
    <row r="188" spans="1:6" x14ac:dyDescent="0.5">
      <c r="A188" t="s">
        <v>12</v>
      </c>
      <c r="B188" t="s">
        <v>16</v>
      </c>
      <c r="C188" s="2">
        <v>3</v>
      </c>
      <c r="D188" s="1">
        <v>0.83333333333333337</v>
      </c>
      <c r="E188" s="4">
        <v>2.5</v>
      </c>
      <c r="F188" t="e">
        <f>VLOOKUP(A188,#REF!,2,FALSE)</f>
        <v>#REF!</v>
      </c>
    </row>
    <row r="189" spans="1:6" x14ac:dyDescent="0.5">
      <c r="A189" t="s">
        <v>7</v>
      </c>
      <c r="B189" t="s">
        <v>5</v>
      </c>
      <c r="C189" s="2">
        <v>2</v>
      </c>
      <c r="D189" s="1">
        <v>0.25</v>
      </c>
      <c r="E189" s="4">
        <v>0.5</v>
      </c>
      <c r="F189" t="e">
        <f>VLOOKUP(A189,#REF!,2,FALSE)</f>
        <v>#REF!</v>
      </c>
    </row>
    <row r="190" spans="1:6" x14ac:dyDescent="0.5">
      <c r="A190" t="s">
        <v>20</v>
      </c>
      <c r="B190" t="s">
        <v>21</v>
      </c>
      <c r="C190" s="2">
        <v>3</v>
      </c>
      <c r="D190" s="1">
        <v>0.83333333333333337</v>
      </c>
      <c r="E190" s="4">
        <v>2.5</v>
      </c>
      <c r="F190" t="e">
        <f>VLOOKUP(A190,#REF!,2,FALSE)</f>
        <v>#REF!</v>
      </c>
    </row>
    <row r="191" spans="1:6" x14ac:dyDescent="0.5">
      <c r="A191" t="s">
        <v>15</v>
      </c>
      <c r="B191" t="s">
        <v>17</v>
      </c>
      <c r="C191" s="2">
        <v>2</v>
      </c>
      <c r="D191" s="1">
        <v>0.5</v>
      </c>
      <c r="E191" s="4">
        <v>1</v>
      </c>
      <c r="F191" t="e">
        <f>VLOOKUP(A191,#REF!,2,FALSE)</f>
        <v>#REF!</v>
      </c>
    </row>
    <row r="192" spans="1:6" x14ac:dyDescent="0.5">
      <c r="A192" t="s">
        <v>7</v>
      </c>
      <c r="B192" t="s">
        <v>5</v>
      </c>
      <c r="C192" s="2">
        <v>2</v>
      </c>
      <c r="D192" s="1">
        <v>0.25</v>
      </c>
      <c r="E192" s="4">
        <v>0.5</v>
      </c>
      <c r="F192" t="e">
        <f>VLOOKUP(A192,#REF!,2,FALSE)</f>
        <v>#REF!</v>
      </c>
    </row>
    <row r="193" spans="1:6" x14ac:dyDescent="0.5">
      <c r="A193" t="s">
        <v>12</v>
      </c>
      <c r="B193" t="s">
        <v>16</v>
      </c>
      <c r="C193" s="2">
        <v>3</v>
      </c>
      <c r="D193" s="1">
        <v>0.83333333333333337</v>
      </c>
      <c r="E193" s="4">
        <v>2.5</v>
      </c>
      <c r="F193" t="e">
        <f>VLOOKUP(A193,#REF!,2,FALSE)</f>
        <v>#REF!</v>
      </c>
    </row>
    <row r="194" spans="1:6" x14ac:dyDescent="0.5">
      <c r="A194" t="s">
        <v>9</v>
      </c>
      <c r="B194" t="s">
        <v>5</v>
      </c>
      <c r="C194" s="2">
        <v>5</v>
      </c>
      <c r="D194" s="1">
        <v>0.8</v>
      </c>
      <c r="E194" s="4">
        <v>4</v>
      </c>
      <c r="F194" t="e">
        <f>VLOOKUP(A194,#REF!,2,FALSE)</f>
        <v>#REF!</v>
      </c>
    </row>
    <row r="195" spans="1:6" x14ac:dyDescent="0.5">
      <c r="A195" t="s">
        <v>10</v>
      </c>
      <c r="B195" t="s">
        <v>16</v>
      </c>
      <c r="C195" s="2">
        <v>4</v>
      </c>
      <c r="D195" s="1">
        <v>0.5</v>
      </c>
      <c r="E195" s="4">
        <v>2</v>
      </c>
      <c r="F195" t="e">
        <f>VLOOKUP(A195,#REF!,2,FALSE)</f>
        <v>#REF!</v>
      </c>
    </row>
    <row r="196" spans="1:6" x14ac:dyDescent="0.5">
      <c r="A196" t="s">
        <v>7</v>
      </c>
      <c r="B196" t="s">
        <v>5</v>
      </c>
      <c r="C196" s="2">
        <v>2</v>
      </c>
      <c r="D196" s="1">
        <v>0.25</v>
      </c>
      <c r="E196" s="4">
        <v>0.5</v>
      </c>
      <c r="F196" t="e">
        <f>VLOOKUP(A196,#REF!,2,FALSE)</f>
        <v>#REF!</v>
      </c>
    </row>
    <row r="197" spans="1:6" x14ac:dyDescent="0.5">
      <c r="A197" t="s">
        <v>20</v>
      </c>
      <c r="B197" t="s">
        <v>21</v>
      </c>
      <c r="C197" s="2">
        <v>3</v>
      </c>
      <c r="D197" s="1">
        <v>0.83333333333333337</v>
      </c>
      <c r="E197" s="4">
        <v>2.5</v>
      </c>
      <c r="F197" t="e">
        <f>VLOOKUP(A197,#REF!,2,FALSE)</f>
        <v>#REF!</v>
      </c>
    </row>
    <row r="198" spans="1:6" x14ac:dyDescent="0.5">
      <c r="A198" t="s">
        <v>14</v>
      </c>
      <c r="B198" t="s">
        <v>17</v>
      </c>
      <c r="C198" s="2">
        <v>2</v>
      </c>
      <c r="D198" s="1">
        <v>0.75</v>
      </c>
      <c r="E198" s="4">
        <v>1.5</v>
      </c>
      <c r="F198" t="e">
        <f>VLOOKUP(A198,#REF!,2,FALSE)</f>
        <v>#REF!</v>
      </c>
    </row>
    <row r="199" spans="1:6" x14ac:dyDescent="0.5">
      <c r="A199" t="s">
        <v>12</v>
      </c>
      <c r="B199" t="s">
        <v>16</v>
      </c>
      <c r="C199" s="2">
        <v>3</v>
      </c>
      <c r="D199" s="1">
        <v>0.83333333333333337</v>
      </c>
      <c r="E199" s="4">
        <v>2.5</v>
      </c>
      <c r="F199" t="e">
        <f>VLOOKUP(A199,#REF!,2,FALSE)</f>
        <v>#REF!</v>
      </c>
    </row>
    <row r="200" spans="1:6" x14ac:dyDescent="0.5">
      <c r="A200" t="s">
        <v>20</v>
      </c>
      <c r="B200" t="s">
        <v>21</v>
      </c>
      <c r="C200" s="2">
        <v>3</v>
      </c>
      <c r="D200" s="1">
        <v>0.83333333333333337</v>
      </c>
      <c r="E200" s="4">
        <v>2.5</v>
      </c>
      <c r="F200" t="e">
        <f>VLOOKUP(A200,#REF!,2,FALSE)</f>
        <v>#REF!</v>
      </c>
    </row>
    <row r="201" spans="1:6" x14ac:dyDescent="0.5">
      <c r="C201" s="4"/>
    </row>
  </sheetData>
  <conditionalFormatting sqref="E1:E104857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>
      <selection activeCell="E24" sqref="E24"/>
    </sheetView>
  </sheetViews>
  <sheetFormatPr defaultColWidth="11" defaultRowHeight="15.75" x14ac:dyDescent="0.5"/>
  <sheetData>
    <row r="1" spans="1:15" x14ac:dyDescent="0.5">
      <c r="A1" t="s">
        <v>0</v>
      </c>
      <c r="B1" t="s">
        <v>10</v>
      </c>
      <c r="C1" t="s">
        <v>12</v>
      </c>
      <c r="D1" t="s">
        <v>14</v>
      </c>
      <c r="E1" t="s">
        <v>19</v>
      </c>
      <c r="F1" t="s">
        <v>15</v>
      </c>
      <c r="G1" t="s">
        <v>8</v>
      </c>
      <c r="H1" t="s">
        <v>4</v>
      </c>
      <c r="I1" t="s">
        <v>18</v>
      </c>
      <c r="J1" t="s">
        <v>13</v>
      </c>
      <c r="K1" t="s">
        <v>6</v>
      </c>
      <c r="L1" t="s">
        <v>7</v>
      </c>
      <c r="M1" t="s">
        <v>9</v>
      </c>
      <c r="N1" t="s">
        <v>20</v>
      </c>
      <c r="O1" t="s">
        <v>11</v>
      </c>
    </row>
    <row r="2" spans="1:15" x14ac:dyDescent="0.5">
      <c r="A2" t="s">
        <v>24</v>
      </c>
      <c r="B2" s="1">
        <v>0.15</v>
      </c>
      <c r="C2" s="1">
        <v>0.05</v>
      </c>
      <c r="D2" s="1">
        <v>0.15</v>
      </c>
      <c r="E2" s="1">
        <v>0.15</v>
      </c>
      <c r="F2" s="1">
        <v>0.15</v>
      </c>
      <c r="G2" s="1">
        <v>0.05</v>
      </c>
      <c r="H2" s="1">
        <v>0.05</v>
      </c>
      <c r="I2" s="1">
        <v>0.15</v>
      </c>
      <c r="J2" s="1">
        <v>0.15</v>
      </c>
      <c r="K2" s="1">
        <v>0.05</v>
      </c>
      <c r="L2" s="1">
        <v>0.05</v>
      </c>
      <c r="M2" s="1">
        <v>0.05</v>
      </c>
      <c r="N2" s="1">
        <v>0.15</v>
      </c>
      <c r="O2" s="1">
        <v>0.15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zoomScale="80" zoomScaleNormal="140" workbookViewId="0">
      <selection activeCell="S9" sqref="S9"/>
    </sheetView>
  </sheetViews>
  <sheetFormatPr defaultRowHeight="15.75" x14ac:dyDescent="0.5"/>
  <cols>
    <col min="1" max="1" width="19.4375" customWidth="1"/>
  </cols>
  <sheetData>
    <row r="1" spans="1:21" x14ac:dyDescent="0.5">
      <c r="A1" t="s">
        <v>0</v>
      </c>
      <c r="B1" t="s">
        <v>23</v>
      </c>
    </row>
    <row r="2" spans="1:21" x14ac:dyDescent="0.5">
      <c r="A2" s="5" t="s">
        <v>10</v>
      </c>
      <c r="B2">
        <v>200</v>
      </c>
      <c r="F2">
        <v>200</v>
      </c>
      <c r="G2">
        <v>0</v>
      </c>
      <c r="H2">
        <v>255</v>
      </c>
      <c r="I2">
        <v>300</v>
      </c>
      <c r="J2">
        <v>300</v>
      </c>
      <c r="K2">
        <v>320</v>
      </c>
      <c r="L2">
        <v>265</v>
      </c>
      <c r="M2">
        <v>240</v>
      </c>
      <c r="N2">
        <v>280</v>
      </c>
      <c r="O2">
        <v>560</v>
      </c>
      <c r="P2">
        <v>480</v>
      </c>
      <c r="Q2">
        <v>500</v>
      </c>
      <c r="R2">
        <v>150</v>
      </c>
      <c r="S2">
        <v>120</v>
      </c>
    </row>
    <row r="3" spans="1:21" x14ac:dyDescent="0.5">
      <c r="A3" s="5" t="s">
        <v>12</v>
      </c>
      <c r="B3">
        <v>0</v>
      </c>
      <c r="F3" s="5" t="s">
        <v>10</v>
      </c>
      <c r="G3" s="5" t="s">
        <v>12</v>
      </c>
      <c r="H3" s="5" t="s">
        <v>14</v>
      </c>
      <c r="I3" s="5" t="s">
        <v>19</v>
      </c>
      <c r="J3" s="5" t="s">
        <v>15</v>
      </c>
      <c r="K3" s="5" t="s">
        <v>8</v>
      </c>
      <c r="L3" s="5" t="s">
        <v>4</v>
      </c>
      <c r="M3" s="5" t="s">
        <v>18</v>
      </c>
      <c r="N3" s="5" t="s">
        <v>13</v>
      </c>
      <c r="O3" s="5" t="s">
        <v>6</v>
      </c>
      <c r="P3" s="5" t="s">
        <v>7</v>
      </c>
      <c r="Q3" s="5" t="s">
        <v>9</v>
      </c>
      <c r="R3" s="5" t="s">
        <v>20</v>
      </c>
      <c r="S3" s="5" t="s">
        <v>11</v>
      </c>
    </row>
    <row r="4" spans="1:21" x14ac:dyDescent="0.5">
      <c r="A4" s="5" t="s">
        <v>14</v>
      </c>
      <c r="B4">
        <v>255</v>
      </c>
      <c r="E4" t="s">
        <v>28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1</v>
      </c>
      <c r="O4" s="6">
        <v>2</v>
      </c>
      <c r="P4" s="6">
        <v>0</v>
      </c>
      <c r="Q4" s="6">
        <v>2</v>
      </c>
      <c r="R4" s="6">
        <v>0</v>
      </c>
      <c r="S4" s="6">
        <v>0</v>
      </c>
    </row>
    <row r="5" spans="1:21" x14ac:dyDescent="0.5">
      <c r="A5" s="5" t="s">
        <v>19</v>
      </c>
      <c r="B5">
        <v>300</v>
      </c>
      <c r="E5" t="s">
        <v>29</v>
      </c>
      <c r="F5">
        <f>F2*F4</f>
        <v>0</v>
      </c>
      <c r="G5">
        <f t="shared" ref="G5:S5" si="0">G2*G4</f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280</v>
      </c>
      <c r="O5">
        <f t="shared" si="0"/>
        <v>1120</v>
      </c>
      <c r="P5">
        <f t="shared" si="0"/>
        <v>0</v>
      </c>
      <c r="Q5">
        <f t="shared" si="0"/>
        <v>1000</v>
      </c>
      <c r="R5">
        <f t="shared" si="0"/>
        <v>0</v>
      </c>
      <c r="S5">
        <f t="shared" si="0"/>
        <v>0</v>
      </c>
    </row>
    <row r="6" spans="1:21" x14ac:dyDescent="0.5">
      <c r="A6" s="5" t="s">
        <v>15</v>
      </c>
      <c r="B6">
        <v>300</v>
      </c>
    </row>
    <row r="7" spans="1:21" x14ac:dyDescent="0.5">
      <c r="A7" s="5" t="s">
        <v>8</v>
      </c>
      <c r="B7">
        <v>320</v>
      </c>
      <c r="R7" t="s">
        <v>25</v>
      </c>
      <c r="S7">
        <f>SUMPRODUCT(F2:S2,F4:S4)</f>
        <v>2400</v>
      </c>
      <c r="T7" t="s">
        <v>27</v>
      </c>
      <c r="U7">
        <v>2400</v>
      </c>
    </row>
    <row r="8" spans="1:21" x14ac:dyDescent="0.5">
      <c r="A8" s="5" t="s">
        <v>4</v>
      </c>
      <c r="B8">
        <v>265</v>
      </c>
    </row>
    <row r="9" spans="1:21" x14ac:dyDescent="0.5">
      <c r="A9" s="5" t="s">
        <v>18</v>
      </c>
      <c r="B9">
        <v>240</v>
      </c>
      <c r="R9" t="s">
        <v>26</v>
      </c>
      <c r="S9">
        <f>SUM(F4:S4)</f>
        <v>5</v>
      </c>
    </row>
    <row r="10" spans="1:21" x14ac:dyDescent="0.5">
      <c r="A10" s="5" t="s">
        <v>13</v>
      </c>
      <c r="B10">
        <v>280</v>
      </c>
    </row>
    <row r="11" spans="1:21" x14ac:dyDescent="0.5">
      <c r="A11" s="5" t="s">
        <v>6</v>
      </c>
      <c r="B11">
        <v>560</v>
      </c>
    </row>
    <row r="12" spans="1:21" x14ac:dyDescent="0.5">
      <c r="A12" s="5" t="s">
        <v>7</v>
      </c>
      <c r="B12">
        <v>480</v>
      </c>
    </row>
    <row r="13" spans="1:21" x14ac:dyDescent="0.5">
      <c r="A13" s="5" t="s">
        <v>9</v>
      </c>
      <c r="B13">
        <v>500</v>
      </c>
    </row>
    <row r="14" spans="1:21" x14ac:dyDescent="0.5">
      <c r="A14" s="5" t="s">
        <v>20</v>
      </c>
      <c r="B14">
        <v>150</v>
      </c>
    </row>
    <row r="15" spans="1:21" x14ac:dyDescent="0.5">
      <c r="A15" s="5" t="s">
        <v>11</v>
      </c>
      <c r="B15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A006-5163-422A-8494-37A1247F6625}">
  <dimension ref="A1:U15"/>
  <sheetViews>
    <sheetView zoomScale="80" zoomScaleNormal="140" workbookViewId="0">
      <selection activeCell="S9" sqref="S9"/>
    </sheetView>
  </sheetViews>
  <sheetFormatPr defaultRowHeight="15.75" x14ac:dyDescent="0.5"/>
  <cols>
    <col min="1" max="1" width="19.4375" customWidth="1"/>
  </cols>
  <sheetData>
    <row r="1" spans="1:21" x14ac:dyDescent="0.5">
      <c r="A1" t="s">
        <v>0</v>
      </c>
      <c r="B1" t="s">
        <v>23</v>
      </c>
    </row>
    <row r="2" spans="1:21" x14ac:dyDescent="0.5">
      <c r="A2" s="5" t="s">
        <v>10</v>
      </c>
      <c r="B2">
        <v>200</v>
      </c>
      <c r="F2">
        <v>200</v>
      </c>
      <c r="G2">
        <v>0</v>
      </c>
      <c r="H2">
        <v>255</v>
      </c>
      <c r="I2">
        <v>300</v>
      </c>
      <c r="J2">
        <v>300</v>
      </c>
      <c r="K2">
        <v>320</v>
      </c>
      <c r="L2">
        <v>265</v>
      </c>
      <c r="M2">
        <v>240</v>
      </c>
      <c r="N2">
        <v>280</v>
      </c>
      <c r="O2">
        <v>560</v>
      </c>
      <c r="P2">
        <v>480</v>
      </c>
      <c r="Q2">
        <v>500</v>
      </c>
      <c r="R2">
        <v>150</v>
      </c>
      <c r="S2">
        <v>120</v>
      </c>
    </row>
    <row r="3" spans="1:21" x14ac:dyDescent="0.5">
      <c r="A3" s="5" t="s">
        <v>12</v>
      </c>
      <c r="B3">
        <v>0</v>
      </c>
      <c r="F3" s="5" t="s">
        <v>10</v>
      </c>
      <c r="G3" s="5" t="s">
        <v>12</v>
      </c>
      <c r="H3" s="5" t="s">
        <v>14</v>
      </c>
      <c r="I3" s="5" t="s">
        <v>19</v>
      </c>
      <c r="J3" s="5" t="s">
        <v>15</v>
      </c>
      <c r="K3" s="5" t="s">
        <v>8</v>
      </c>
      <c r="L3" s="5" t="s">
        <v>4</v>
      </c>
      <c r="M3" s="5" t="s">
        <v>18</v>
      </c>
      <c r="N3" s="5" t="s">
        <v>13</v>
      </c>
      <c r="O3" s="5" t="s">
        <v>6</v>
      </c>
      <c r="P3" s="5" t="s">
        <v>7</v>
      </c>
      <c r="Q3" s="5" t="s">
        <v>9</v>
      </c>
      <c r="R3" s="5" t="s">
        <v>20</v>
      </c>
      <c r="S3" s="5" t="s">
        <v>11</v>
      </c>
    </row>
    <row r="4" spans="1:21" x14ac:dyDescent="0.5">
      <c r="A4" s="5" t="s">
        <v>14</v>
      </c>
      <c r="B4">
        <v>255</v>
      </c>
      <c r="E4" t="s">
        <v>28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20</v>
      </c>
    </row>
    <row r="5" spans="1:21" x14ac:dyDescent="0.5">
      <c r="A5" s="5" t="s">
        <v>19</v>
      </c>
      <c r="B5">
        <v>300</v>
      </c>
      <c r="E5" t="s">
        <v>29</v>
      </c>
      <c r="F5">
        <f>F2*F4</f>
        <v>0</v>
      </c>
      <c r="G5">
        <f t="shared" ref="G5:S5" si="0">G2*G4</f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2400</v>
      </c>
    </row>
    <row r="6" spans="1:21" x14ac:dyDescent="0.5">
      <c r="A6" s="5" t="s">
        <v>15</v>
      </c>
      <c r="B6">
        <v>300</v>
      </c>
    </row>
    <row r="7" spans="1:21" x14ac:dyDescent="0.5">
      <c r="A7" s="5" t="s">
        <v>8</v>
      </c>
      <c r="B7">
        <v>320</v>
      </c>
      <c r="R7" t="s">
        <v>25</v>
      </c>
      <c r="S7">
        <f>SUMPRODUCT(F2:S2,F4:S4)</f>
        <v>2400</v>
      </c>
      <c r="T7" t="s">
        <v>27</v>
      </c>
      <c r="U7">
        <v>2400</v>
      </c>
    </row>
    <row r="8" spans="1:21" x14ac:dyDescent="0.5">
      <c r="A8" s="5" t="s">
        <v>4</v>
      </c>
      <c r="B8">
        <v>265</v>
      </c>
    </row>
    <row r="9" spans="1:21" x14ac:dyDescent="0.5">
      <c r="A9" s="5" t="s">
        <v>18</v>
      </c>
      <c r="B9">
        <v>240</v>
      </c>
      <c r="R9" t="s">
        <v>30</v>
      </c>
      <c r="S9">
        <f>COUNTIF(F4:S4,"&gt;0")</f>
        <v>1</v>
      </c>
    </row>
    <row r="10" spans="1:21" x14ac:dyDescent="0.5">
      <c r="A10" s="5" t="s">
        <v>13</v>
      </c>
      <c r="B10">
        <v>280</v>
      </c>
    </row>
    <row r="11" spans="1:21" x14ac:dyDescent="0.5">
      <c r="A11" s="5" t="s">
        <v>6</v>
      </c>
      <c r="B11">
        <v>560</v>
      </c>
    </row>
    <row r="12" spans="1:21" x14ac:dyDescent="0.5">
      <c r="A12" s="5" t="s">
        <v>7</v>
      </c>
      <c r="B12">
        <v>480</v>
      </c>
    </row>
    <row r="13" spans="1:21" x14ac:dyDescent="0.5">
      <c r="A13" s="5" t="s">
        <v>9</v>
      </c>
      <c r="B13">
        <v>500</v>
      </c>
    </row>
    <row r="14" spans="1:21" x14ac:dyDescent="0.5">
      <c r="A14" s="5" t="s">
        <v>20</v>
      </c>
      <c r="B14">
        <v>150</v>
      </c>
    </row>
    <row r="15" spans="1:21" x14ac:dyDescent="0.5">
      <c r="A15" s="5" t="s">
        <v>11</v>
      </c>
      <c r="B15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71BD-3C56-4D62-9F21-CF45D8804C25}">
  <dimension ref="J8:M23"/>
  <sheetViews>
    <sheetView topLeftCell="A4" zoomScale="77" workbookViewId="0">
      <selection activeCell="M23" sqref="M23"/>
    </sheetView>
  </sheetViews>
  <sheetFormatPr defaultRowHeight="15.75" x14ac:dyDescent="0.5"/>
  <cols>
    <col min="10" max="10" width="20.1875" bestFit="1" customWidth="1"/>
  </cols>
  <sheetData>
    <row r="8" spans="10:13" x14ac:dyDescent="0.5">
      <c r="J8" t="s">
        <v>0</v>
      </c>
      <c r="K8" t="s">
        <v>23</v>
      </c>
      <c r="L8" t="s">
        <v>31</v>
      </c>
      <c r="M8" t="s">
        <v>29</v>
      </c>
    </row>
    <row r="9" spans="10:13" x14ac:dyDescent="0.5">
      <c r="J9" s="5" t="s">
        <v>10</v>
      </c>
      <c r="K9">
        <v>200</v>
      </c>
      <c r="L9">
        <v>3</v>
      </c>
      <c r="M9">
        <f>K9*L9</f>
        <v>600</v>
      </c>
    </row>
    <row r="10" spans="10:13" x14ac:dyDescent="0.5">
      <c r="J10" s="5" t="s">
        <v>12</v>
      </c>
      <c r="K10">
        <v>0</v>
      </c>
      <c r="L10">
        <v>0</v>
      </c>
      <c r="M10">
        <f t="shared" ref="M10:M22" si="0">K10*L10</f>
        <v>0</v>
      </c>
    </row>
    <row r="11" spans="10:13" x14ac:dyDescent="0.5">
      <c r="J11" s="5" t="s">
        <v>14</v>
      </c>
      <c r="K11">
        <v>255</v>
      </c>
      <c r="L11">
        <v>0</v>
      </c>
      <c r="M11">
        <f t="shared" si="0"/>
        <v>0</v>
      </c>
    </row>
    <row r="12" spans="10:13" x14ac:dyDescent="0.5">
      <c r="J12" s="5" t="s">
        <v>19</v>
      </c>
      <c r="K12">
        <v>300</v>
      </c>
      <c r="L12">
        <v>0</v>
      </c>
      <c r="M12">
        <f t="shared" si="0"/>
        <v>0</v>
      </c>
    </row>
    <row r="13" spans="10:13" x14ac:dyDescent="0.5">
      <c r="J13" s="5" t="s">
        <v>15</v>
      </c>
      <c r="K13">
        <v>300</v>
      </c>
      <c r="L13">
        <v>0</v>
      </c>
      <c r="M13">
        <f t="shared" si="0"/>
        <v>0</v>
      </c>
    </row>
    <row r="14" spans="10:13" x14ac:dyDescent="0.5">
      <c r="J14" s="5" t="s">
        <v>8</v>
      </c>
      <c r="K14">
        <v>320</v>
      </c>
      <c r="L14">
        <v>0</v>
      </c>
      <c r="M14">
        <f t="shared" si="0"/>
        <v>0</v>
      </c>
    </row>
    <row r="15" spans="10:13" x14ac:dyDescent="0.5">
      <c r="J15" s="5" t="s">
        <v>4</v>
      </c>
      <c r="K15">
        <v>265</v>
      </c>
      <c r="L15">
        <v>0</v>
      </c>
      <c r="M15">
        <f t="shared" si="0"/>
        <v>0</v>
      </c>
    </row>
    <row r="16" spans="10:13" x14ac:dyDescent="0.5">
      <c r="J16" s="5" t="s">
        <v>18</v>
      </c>
      <c r="K16">
        <v>240</v>
      </c>
      <c r="L16">
        <v>0</v>
      </c>
      <c r="M16">
        <f t="shared" si="0"/>
        <v>0</v>
      </c>
    </row>
    <row r="17" spans="10:13" x14ac:dyDescent="0.5">
      <c r="J17" s="5" t="s">
        <v>13</v>
      </c>
      <c r="K17">
        <v>280</v>
      </c>
      <c r="L17">
        <v>0</v>
      </c>
      <c r="M17">
        <f t="shared" si="0"/>
        <v>0</v>
      </c>
    </row>
    <row r="18" spans="10:13" x14ac:dyDescent="0.5">
      <c r="J18" s="5" t="s">
        <v>6</v>
      </c>
      <c r="K18">
        <v>560</v>
      </c>
      <c r="L18">
        <v>0</v>
      </c>
      <c r="M18">
        <f t="shared" si="0"/>
        <v>0</v>
      </c>
    </row>
    <row r="19" spans="10:13" x14ac:dyDescent="0.5">
      <c r="J19" s="5" t="s">
        <v>7</v>
      </c>
      <c r="K19">
        <v>480</v>
      </c>
      <c r="L19">
        <v>1</v>
      </c>
      <c r="M19">
        <f t="shared" si="0"/>
        <v>480</v>
      </c>
    </row>
    <row r="20" spans="10:13" x14ac:dyDescent="0.5">
      <c r="J20" s="5" t="s">
        <v>9</v>
      </c>
      <c r="K20">
        <v>500</v>
      </c>
      <c r="L20">
        <v>0</v>
      </c>
      <c r="M20">
        <f t="shared" si="0"/>
        <v>0</v>
      </c>
    </row>
    <row r="21" spans="10:13" x14ac:dyDescent="0.5">
      <c r="J21" s="5" t="s">
        <v>20</v>
      </c>
      <c r="K21">
        <v>150</v>
      </c>
      <c r="L21">
        <v>0</v>
      </c>
      <c r="M21">
        <f t="shared" si="0"/>
        <v>0</v>
      </c>
    </row>
    <row r="22" spans="10:13" x14ac:dyDescent="0.5">
      <c r="J22" s="5" t="s">
        <v>11</v>
      </c>
      <c r="K22">
        <v>120</v>
      </c>
      <c r="L22">
        <v>1</v>
      </c>
      <c r="M22">
        <f t="shared" si="0"/>
        <v>120</v>
      </c>
    </row>
    <row r="23" spans="10:13" x14ac:dyDescent="0.5">
      <c r="M23" s="6">
        <f>SUMPRODUCT(L9:L22,M9:M22)</f>
        <v>2400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2320-7713-45AC-8F64-3C8E32FD5A25}">
  <dimension ref="A1"/>
  <sheetViews>
    <sheetView tabSelected="1" topLeftCell="A3" zoomScale="67" workbookViewId="0"/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Basketball Game Sales</vt:lpstr>
      <vt:lpstr>Fee Schedule</vt:lpstr>
      <vt:lpstr>Calories_NonDistinctItems</vt:lpstr>
      <vt:lpstr>Calories_DistinctItems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SHALINI SINGH</cp:lastModifiedBy>
  <dcterms:created xsi:type="dcterms:W3CDTF">2013-01-21T18:22:23Z</dcterms:created>
  <dcterms:modified xsi:type="dcterms:W3CDTF">2025-10-27T08:06:01Z</dcterms:modified>
</cp:coreProperties>
</file>