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rm V\BIPA\"/>
    </mc:Choice>
  </mc:AlternateContent>
  <xr:revisionPtr revIDLastSave="0" documentId="13_ncr:1_{FDCED550-BA2D-4756-BAFD-12D074E67CDB}" xr6:coauthVersionLast="47" xr6:coauthVersionMax="47" xr10:uidLastSave="{00000000-0000-0000-0000-000000000000}"/>
  <bookViews>
    <workbookView xWindow="-120" yWindow="-120" windowWidth="29040" windowHeight="15840" activeTab="4" xr2:uid="{CA9EB66F-1FBB-4C63-93A3-EA0DC9DE433C}"/>
  </bookViews>
  <sheets>
    <sheet name="Razor_No Blades" sheetId="1" r:id="rId1"/>
    <sheet name="Razor_WBlades" sheetId="2" r:id="rId2"/>
    <sheet name="Razor_WBlades (2)" sheetId="3" r:id="rId3"/>
    <sheet name="Razor_Elasticity" sheetId="4" r:id="rId4"/>
    <sheet name="German Machine" sheetId="5" r:id="rId5"/>
  </sheets>
  <definedNames>
    <definedName name="solver_adj" localSheetId="4" hidden="1">'German Machine'!$C$15:$E$15</definedName>
    <definedName name="solver_adj" localSheetId="3" hidden="1">Razor_Elasticity!$H$20:$H$21</definedName>
    <definedName name="solver_adj" localSheetId="0" hidden="1">'Razor_No Blades'!$D$8</definedName>
    <definedName name="solver_adj" localSheetId="1" hidden="1">Razor_WBlades!$D$8</definedName>
    <definedName name="solver_adj" localSheetId="2" hidden="1">'Razor_WBlades (2)'!$D$11</definedName>
    <definedName name="solver_cvg" localSheetId="4" hidden="1">0.0001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4" hidden="1">1</definedName>
    <definedName name="solver_drv" localSheetId="3" hidden="1">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4" hidden="1">3</definedName>
    <definedName name="solver_eng" localSheetId="3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4" hidden="1">1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4" hidden="1">2147483647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4" hidden="1">'German Machine'!$C$15:$E$15</definedName>
    <definedName name="solver_lhs1" localSheetId="1" hidden="1">Razor_WBlades!$C$12</definedName>
    <definedName name="solver_lhs1" localSheetId="2" hidden="1">'Razor_WBlades (2)'!$C$12</definedName>
    <definedName name="solver_lhs2" localSheetId="4" hidden="1">'German Machine'!$C$15:$E$15</definedName>
    <definedName name="solver_lhs3" localSheetId="4" hidden="1">'German Machine'!$C$15:$E$15</definedName>
    <definedName name="solver_mip" localSheetId="4" hidden="1">2147483647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4" hidden="1">30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4" hidden="1">0.075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4" hidden="1">2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4" hidden="1">1</definedName>
    <definedName name="solver_neg" localSheetId="3" hidden="1">1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4" hidden="1">2147483647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4" hidden="1">3</definedName>
    <definedName name="solver_num" localSheetId="3" hidden="1">0</definedName>
    <definedName name="solver_num" localSheetId="0" hidden="1">0</definedName>
    <definedName name="solver_num" localSheetId="1" hidden="1">1</definedName>
    <definedName name="solver_num" localSheetId="2" hidden="1">1</definedName>
    <definedName name="solver_nwt" localSheetId="4" hidden="1">1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4" hidden="1">'German Machine'!$K$15</definedName>
    <definedName name="solver_opt" localSheetId="3" hidden="1">Razor_Elasticity!$H$31</definedName>
    <definedName name="solver_opt" localSheetId="0" hidden="1">'Razor_No Blades'!$D$10</definedName>
    <definedName name="solver_opt" localSheetId="1" hidden="1">Razor_WBlades!$D$10</definedName>
    <definedName name="solver_opt" localSheetId="2" hidden="1">'Razor_WBlades (2)'!$D$10</definedName>
    <definedName name="solver_pre" localSheetId="4" hidden="1">0.000001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4" hidden="1">1</definedName>
    <definedName name="solver_rbv" localSheetId="3" hidden="1">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4" hidden="1">1</definedName>
    <definedName name="solver_rel1" localSheetId="1" hidden="1">1</definedName>
    <definedName name="solver_rel1" localSheetId="2" hidden="1">1</definedName>
    <definedName name="solver_rel2" localSheetId="4" hidden="1">4</definedName>
    <definedName name="solver_rel3" localSheetId="4" hidden="1">3</definedName>
    <definedName name="solver_rhs1" localSheetId="4" hidden="1">3000</definedName>
    <definedName name="solver_rhs1" localSheetId="1" hidden="1">Razor_WBlades!$E$12</definedName>
    <definedName name="solver_rhs1" localSheetId="2" hidden="1">'Razor_WBlades (2)'!$E$12</definedName>
    <definedName name="solver_rhs2" localSheetId="4" hidden="1">"integer"</definedName>
    <definedName name="solver_rhs3" localSheetId="4" hidden="1">470</definedName>
    <definedName name="solver_rlx" localSheetId="4" hidden="1">2</definedName>
    <definedName name="solver_rlx" localSheetId="3" hidden="1">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4" hidden="1">0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4" hidden="1">1</definedName>
    <definedName name="solver_scl" localSheetId="3" hidden="1">1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4" hidden="1">2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4" hidden="1">100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4" hidden="1">2147483647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4" hidden="1">0.01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4" hidden="1">1</definedName>
    <definedName name="solver_typ" localSheetId="3" hidden="1">1</definedName>
    <definedName name="solver_typ" localSheetId="0" hidden="1">1</definedName>
    <definedName name="solver_typ" localSheetId="1" hidden="1">1</definedName>
    <definedName name="solver_typ" localSheetId="2" hidden="1">3</definedName>
    <definedName name="solver_val" localSheetId="4" hidden="1">0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4" hidden="1">3</definedName>
    <definedName name="solver_ver" localSheetId="3" hidden="1">3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5" l="1"/>
  <c r="H10" i="5"/>
  <c r="G11" i="5"/>
  <c r="H11" i="5"/>
  <c r="G12" i="5"/>
  <c r="H12" i="5"/>
  <c r="G13" i="5"/>
  <c r="H13" i="5"/>
  <c r="F11" i="5"/>
  <c r="F12" i="5"/>
  <c r="F13" i="5"/>
  <c r="F10" i="5"/>
  <c r="E6" i="5"/>
  <c r="H31" i="4"/>
  <c r="H28" i="4"/>
  <c r="C12" i="2"/>
  <c r="H23" i="4"/>
  <c r="H24" i="4" s="1"/>
  <c r="H30" i="4" s="1"/>
  <c r="I9" i="4"/>
  <c r="H9" i="4"/>
  <c r="D16" i="4"/>
  <c r="D15" i="4"/>
  <c r="C12" i="3"/>
  <c r="D9" i="3"/>
  <c r="D10" i="3" s="1"/>
  <c r="D9" i="2"/>
  <c r="D10" i="2" s="1"/>
  <c r="D9" i="1"/>
  <c r="D10" i="1" s="1"/>
  <c r="I11" i="5" l="1"/>
  <c r="J11" i="5" s="1"/>
  <c r="K11" i="5" s="1" a="1"/>
  <c r="K11" i="5" s="1"/>
  <c r="I10" i="5"/>
  <c r="J10" i="5" s="1"/>
  <c r="K10" i="5" s="1" a="1"/>
  <c r="K10" i="5" s="1"/>
  <c r="I12" i="5"/>
  <c r="J12" i="5" s="1"/>
  <c r="K12" i="5" s="1" a="1"/>
  <c r="K12" i="5" s="1"/>
  <c r="I13" i="5"/>
  <c r="J13" i="5" s="1"/>
  <c r="K13" i="5" s="1" a="1"/>
  <c r="K13" i="5" s="1"/>
  <c r="H29" i="4"/>
  <c r="K15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<sst xmlns="http://schemas.openxmlformats.org/spreadsheetml/2006/main" count="79" uniqueCount="50">
  <si>
    <t>Price</t>
  </si>
  <si>
    <t>Demand</t>
  </si>
  <si>
    <t>UnitCost</t>
  </si>
  <si>
    <t>Profit</t>
  </si>
  <si>
    <t>y=</t>
  </si>
  <si>
    <t>=-2.4x + 18</t>
  </si>
  <si>
    <t>SPrice</t>
  </si>
  <si>
    <t>1  Razor = 50  Blades</t>
  </si>
  <si>
    <t>0.15 Profit per blade</t>
  </si>
  <si>
    <t>&lt;=</t>
  </si>
  <si>
    <t>Blades</t>
  </si>
  <si>
    <t xml:space="preserve">demand of blade </t>
  </si>
  <si>
    <t>frofit ftom blade</t>
  </si>
  <si>
    <t>Suppose the cost to produce a blade is 0.2</t>
  </si>
  <si>
    <t>If you charge 0.35 for a blade, a customer buys an average of 50 blades from you</t>
  </si>
  <si>
    <t>assume price elasticty f demand for blades is 3</t>
  </si>
  <si>
    <t>what price should you charge for a razor and for a blade</t>
  </si>
  <si>
    <t>Price Blades</t>
  </si>
  <si>
    <t>Demand Blades per unit of razor</t>
  </si>
  <si>
    <t>Price razors</t>
  </si>
  <si>
    <t>Demand Razors</t>
  </si>
  <si>
    <t>Unit Cost Razor</t>
  </si>
  <si>
    <t>Unit cost Blade</t>
  </si>
  <si>
    <t>Demand of razor</t>
  </si>
  <si>
    <t>SPrice of razor</t>
  </si>
  <si>
    <t>SPrice of Blade</t>
  </si>
  <si>
    <t>Demand of Blade</t>
  </si>
  <si>
    <t>-428.57x + 200</t>
  </si>
  <si>
    <t>Profit from Razor</t>
  </si>
  <si>
    <t>Profit from Blade</t>
  </si>
  <si>
    <t>Total Profit</t>
  </si>
  <si>
    <t xml:space="preserve">Blades per razor </t>
  </si>
  <si>
    <t>A German Machine company sells industrial machinery and maintenance policies for the machine. There are 4 market segments</t>
  </si>
  <si>
    <t>Gif 5-9 shows the size of each market segment and the amount each segment will pay for the machine separately, machine separately, or the bundle of machinery+maintenance.</t>
  </si>
  <si>
    <t>The VC is 555//machine and 470/maintenance agreeement. What set of prices maximizes profits?</t>
  </si>
  <si>
    <t>Machine</t>
  </si>
  <si>
    <t>Maintenance</t>
  </si>
  <si>
    <t>Bundle</t>
  </si>
  <si>
    <t>Costs</t>
  </si>
  <si>
    <t>Machine Use Max</t>
  </si>
  <si>
    <t>Maintenance Max</t>
  </si>
  <si>
    <t>Bundle Max</t>
  </si>
  <si>
    <t>Segment Size (%)</t>
  </si>
  <si>
    <t>Willingness to Pay</t>
  </si>
  <si>
    <t>Machine Surplus</t>
  </si>
  <si>
    <t>Bundle Surplus</t>
  </si>
  <si>
    <t>Maintenance Surplus</t>
  </si>
  <si>
    <t>Max Surplus</t>
  </si>
  <si>
    <t>Bought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</si>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</sst>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4" borderId="0" xfId="0" quotePrefix="1" applyFill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'Razor_No Blades'!$A$2:$A$3</c:f>
              <c:numCache>
                <c:formatCode>General</c:formatCode>
                <c:ptCount val="2"/>
                <c:pt idx="0">
                  <c:v>5</c:v>
                </c:pt>
                <c:pt idx="1">
                  <c:v>5.05</c:v>
                </c:pt>
              </c:numCache>
            </c:numRef>
          </c:xVal>
          <c:yVal>
            <c:numRef>
              <c:f>'Razor_No Blades'!$B$2:$B$3</c:f>
              <c:numCache>
                <c:formatCode>General</c:formatCode>
                <c:ptCount val="2"/>
                <c:pt idx="0">
                  <c:v>6</c:v>
                </c:pt>
                <c:pt idx="1">
                  <c:v>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0-494D-81D8-FEAC7D6F5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399536"/>
        <c:axId val="1797401456"/>
      </c:scatterChart>
      <c:valAx>
        <c:axId val="179739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401456"/>
        <c:crosses val="autoZero"/>
        <c:crossBetween val="midCat"/>
      </c:valAx>
      <c:valAx>
        <c:axId val="179740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39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Razor_WBlades!$A$2:$A$3</c:f>
              <c:numCache>
                <c:formatCode>General</c:formatCode>
                <c:ptCount val="2"/>
                <c:pt idx="0">
                  <c:v>5</c:v>
                </c:pt>
                <c:pt idx="1">
                  <c:v>5.05</c:v>
                </c:pt>
              </c:numCache>
            </c:numRef>
          </c:xVal>
          <c:yVal>
            <c:numRef>
              <c:f>Razor_WBlades!$B$2:$B$3</c:f>
              <c:numCache>
                <c:formatCode>General</c:formatCode>
                <c:ptCount val="2"/>
                <c:pt idx="0">
                  <c:v>6</c:v>
                </c:pt>
                <c:pt idx="1">
                  <c:v>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9C-4AF8-BA2A-D944F54E4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399536"/>
        <c:axId val="1797401456"/>
      </c:scatterChart>
      <c:valAx>
        <c:axId val="179739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401456"/>
        <c:crosses val="autoZero"/>
        <c:crossBetween val="midCat"/>
      </c:valAx>
      <c:valAx>
        <c:axId val="179740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39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'Razor_WBlades (2)'!$A$2:$A$3</c:f>
              <c:numCache>
                <c:formatCode>General</c:formatCode>
                <c:ptCount val="2"/>
                <c:pt idx="0">
                  <c:v>5</c:v>
                </c:pt>
                <c:pt idx="1">
                  <c:v>5.05</c:v>
                </c:pt>
              </c:numCache>
            </c:numRef>
          </c:xVal>
          <c:yVal>
            <c:numRef>
              <c:f>'Razor_WBlades (2)'!$B$2:$B$3</c:f>
              <c:numCache>
                <c:formatCode>General</c:formatCode>
                <c:ptCount val="2"/>
                <c:pt idx="0">
                  <c:v>6</c:v>
                </c:pt>
                <c:pt idx="1">
                  <c:v>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5A-48FD-9664-C3CFD0BB9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399536"/>
        <c:axId val="1797401456"/>
      </c:scatterChart>
      <c:valAx>
        <c:axId val="179739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401456"/>
        <c:crosses val="autoZero"/>
        <c:crossBetween val="midCat"/>
      </c:valAx>
      <c:valAx>
        <c:axId val="179740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39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Blade</a:t>
            </a:r>
            <a:r>
              <a:rPr lang="en-IN" baseline="0"/>
              <a:t> Demand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Razor_Elasticity!$H$8:$H$9</c:f>
              <c:numCache>
                <c:formatCode>General</c:formatCode>
                <c:ptCount val="2"/>
                <c:pt idx="0">
                  <c:v>0.35</c:v>
                </c:pt>
                <c:pt idx="1">
                  <c:v>0.35349999999999998</c:v>
                </c:pt>
              </c:numCache>
            </c:numRef>
          </c:xVal>
          <c:yVal>
            <c:numRef>
              <c:f>Razor_Elasticity!$I$8:$I$9</c:f>
              <c:numCache>
                <c:formatCode>General</c:formatCode>
                <c:ptCount val="2"/>
                <c:pt idx="0">
                  <c:v>50</c:v>
                </c:pt>
                <c:pt idx="1">
                  <c:v>48.5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77-4643-8A45-2CEA715F4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036176"/>
        <c:axId val="1731028976"/>
      </c:scatterChart>
      <c:valAx>
        <c:axId val="173103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28976"/>
        <c:crosses val="autoZero"/>
        <c:crossBetween val="midCat"/>
      </c:valAx>
      <c:valAx>
        <c:axId val="17310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3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6</xdr:row>
      <xdr:rowOff>138112</xdr:rowOff>
    </xdr:from>
    <xdr:to>
      <xdr:col>13</xdr:col>
      <xdr:colOff>502443</xdr:colOff>
      <xdr:row>21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E929C-3DA9-174A-F67B-97EAEA2CF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6</xdr:row>
      <xdr:rowOff>138112</xdr:rowOff>
    </xdr:from>
    <xdr:to>
      <xdr:col>13</xdr:col>
      <xdr:colOff>502443</xdr:colOff>
      <xdr:row>21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6B387-02A6-4C93-A95D-0B686B809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6</xdr:row>
      <xdr:rowOff>138112</xdr:rowOff>
    </xdr:from>
    <xdr:to>
      <xdr:col>13</xdr:col>
      <xdr:colOff>502443</xdr:colOff>
      <xdr:row>21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48055-E7BB-4D74-BB32-FCD99FCF4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33337</xdr:rowOff>
    </xdr:from>
    <xdr:to>
      <xdr:col>19</xdr:col>
      <xdr:colOff>19050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A95C4-65DC-23B4-4F28-3E22E0540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24E9-9D5A-4F4A-B477-5CD9846EDF5B}">
  <dimension ref="A1:D10"/>
  <sheetViews>
    <sheetView zoomScale="94" workbookViewId="0">
      <selection activeCell="D25" sqref="D25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>
        <v>5</v>
      </c>
      <c r="B2">
        <v>6</v>
      </c>
    </row>
    <row r="3" spans="1:4" x14ac:dyDescent="0.25">
      <c r="A3">
        <v>5.05</v>
      </c>
      <c r="B3">
        <v>5.88</v>
      </c>
    </row>
    <row r="5" spans="1:4" x14ac:dyDescent="0.25">
      <c r="B5" t="s">
        <v>2</v>
      </c>
      <c r="C5">
        <v>2</v>
      </c>
    </row>
    <row r="7" spans="1:4" x14ac:dyDescent="0.25">
      <c r="C7" t="s">
        <v>4</v>
      </c>
      <c r="D7" s="1" t="s">
        <v>5</v>
      </c>
    </row>
    <row r="8" spans="1:4" x14ac:dyDescent="0.25">
      <c r="B8" t="s">
        <v>6</v>
      </c>
      <c r="D8">
        <v>4.7499999894716352</v>
      </c>
    </row>
    <row r="9" spans="1:4" x14ac:dyDescent="0.25">
      <c r="B9" t="s">
        <v>1</v>
      </c>
      <c r="D9">
        <f>-2.4*D8+18</f>
        <v>6.6000000252680753</v>
      </c>
    </row>
    <row r="10" spans="1:4" x14ac:dyDescent="0.25">
      <c r="B10" t="s">
        <v>3</v>
      </c>
      <c r="D10">
        <f>(D8-C5)*D9</f>
        <v>18.149999999999999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EB77-0B47-4C89-8B9A-C1BF9CB14093}">
  <dimension ref="A1:S12"/>
  <sheetViews>
    <sheetView zoomScale="94" workbookViewId="0">
      <selection activeCell="E13" sqref="E13"/>
    </sheetView>
  </sheetViews>
  <sheetFormatPr defaultRowHeight="15" x14ac:dyDescent="0.25"/>
  <sheetData>
    <row r="1" spans="1:19" x14ac:dyDescent="0.25">
      <c r="A1" t="s">
        <v>0</v>
      </c>
      <c r="B1" t="s">
        <v>1</v>
      </c>
    </row>
    <row r="2" spans="1:19" x14ac:dyDescent="0.25">
      <c r="A2">
        <v>5</v>
      </c>
      <c r="B2">
        <v>6</v>
      </c>
    </row>
    <row r="3" spans="1:19" x14ac:dyDescent="0.25">
      <c r="A3">
        <v>5.05</v>
      </c>
      <c r="B3">
        <v>5.88</v>
      </c>
    </row>
    <row r="4" spans="1:19" x14ac:dyDescent="0.25">
      <c r="E4" t="s">
        <v>7</v>
      </c>
    </row>
    <row r="5" spans="1:19" x14ac:dyDescent="0.25">
      <c r="B5" t="s">
        <v>2</v>
      </c>
      <c r="C5">
        <v>2</v>
      </c>
      <c r="E5" t="s">
        <v>8</v>
      </c>
    </row>
    <row r="7" spans="1:19" x14ac:dyDescent="0.25">
      <c r="C7" t="s">
        <v>4</v>
      </c>
      <c r="D7" s="1" t="s">
        <v>5</v>
      </c>
    </row>
    <row r="8" spans="1:19" x14ac:dyDescent="0.25">
      <c r="B8" t="s">
        <v>6</v>
      </c>
      <c r="D8">
        <v>1.0000000000000002</v>
      </c>
    </row>
    <row r="9" spans="1:19" x14ac:dyDescent="0.25">
      <c r="B9" t="s">
        <v>1</v>
      </c>
      <c r="D9">
        <f>-2.4*D8+18</f>
        <v>15.6</v>
      </c>
    </row>
    <row r="10" spans="1:19" x14ac:dyDescent="0.25">
      <c r="B10" t="s">
        <v>3</v>
      </c>
      <c r="D10">
        <f>(D8-C5)*D9 + (0.15*D9*50)</f>
        <v>101.4</v>
      </c>
    </row>
    <row r="11" spans="1:19" x14ac:dyDescent="0.25">
      <c r="Q11" t="s">
        <v>11</v>
      </c>
      <c r="S11">
        <v>780</v>
      </c>
    </row>
    <row r="12" spans="1:19" x14ac:dyDescent="0.25">
      <c r="C12">
        <f>D8</f>
        <v>1.0000000000000002</v>
      </c>
      <c r="D12" t="s">
        <v>9</v>
      </c>
      <c r="E12">
        <v>2</v>
      </c>
      <c r="Q12" t="s">
        <v>12</v>
      </c>
      <c r="S12">
        <v>117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C36E-B826-4237-8561-ADC13B43CBE7}">
  <dimension ref="A1:E12"/>
  <sheetViews>
    <sheetView zoomScale="94" workbookViewId="0">
      <selection activeCell="E3" sqref="E3"/>
    </sheetView>
  </sheetViews>
  <sheetFormatPr defaultRowHeight="15" x14ac:dyDescent="0.25"/>
  <cols>
    <col min="4" max="4" width="11.710937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5</v>
      </c>
      <c r="B2">
        <v>6</v>
      </c>
    </row>
    <row r="3" spans="1:5" x14ac:dyDescent="0.25">
      <c r="A3">
        <v>5.05</v>
      </c>
      <c r="B3">
        <v>5.88</v>
      </c>
    </row>
    <row r="4" spans="1:5" x14ac:dyDescent="0.25">
      <c r="E4" t="s">
        <v>7</v>
      </c>
    </row>
    <row r="5" spans="1:5" x14ac:dyDescent="0.25">
      <c r="B5" t="s">
        <v>2</v>
      </c>
      <c r="C5">
        <v>2</v>
      </c>
      <c r="E5" t="s">
        <v>8</v>
      </c>
    </row>
    <row r="7" spans="1:5" x14ac:dyDescent="0.25">
      <c r="C7" t="s">
        <v>4</v>
      </c>
      <c r="D7" s="1" t="s">
        <v>5</v>
      </c>
    </row>
    <row r="8" spans="1:5" x14ac:dyDescent="0.25">
      <c r="B8" t="s">
        <v>6</v>
      </c>
      <c r="D8">
        <v>1.99</v>
      </c>
    </row>
    <row r="9" spans="1:5" x14ac:dyDescent="0.25">
      <c r="B9" t="s">
        <v>1</v>
      </c>
      <c r="D9">
        <f>-2.4*D8+18</f>
        <v>13.224</v>
      </c>
    </row>
    <row r="10" spans="1:5" x14ac:dyDescent="0.25">
      <c r="B10" t="s">
        <v>3</v>
      </c>
      <c r="D10">
        <f>(D8-C5)*D9 + (0.15*D9*D11)</f>
        <v>6.409595076917185E-13</v>
      </c>
    </row>
    <row r="11" spans="1:5" x14ac:dyDescent="0.25">
      <c r="B11" t="s">
        <v>10</v>
      </c>
      <c r="D11">
        <v>6.6666666666989852E-2</v>
      </c>
    </row>
    <row r="12" spans="1:5" x14ac:dyDescent="0.25">
      <c r="C12">
        <f>D8</f>
        <v>1.99</v>
      </c>
      <c r="D12" t="s">
        <v>9</v>
      </c>
      <c r="E12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97E0-8E65-4450-98A0-30E9AD3AC230}">
  <dimension ref="A1:I31"/>
  <sheetViews>
    <sheetView topLeftCell="A3" zoomScale="101" workbookViewId="0">
      <selection activeCell="J15" sqref="J15"/>
    </sheetView>
  </sheetViews>
  <sheetFormatPr defaultRowHeight="15" x14ac:dyDescent="0.25"/>
  <cols>
    <col min="1" max="6" width="9.140625" style="5"/>
    <col min="7" max="7" width="16.28515625" style="5" customWidth="1"/>
    <col min="8" max="16384" width="9.140625" style="5"/>
  </cols>
  <sheetData>
    <row r="1" spans="1:9" x14ac:dyDescent="0.25">
      <c r="A1" s="5" t="s">
        <v>13</v>
      </c>
    </row>
    <row r="2" spans="1:9" x14ac:dyDescent="0.25">
      <c r="A2" s="5" t="s">
        <v>14</v>
      </c>
    </row>
    <row r="3" spans="1:9" x14ac:dyDescent="0.25">
      <c r="A3" s="5" t="s">
        <v>15</v>
      </c>
    </row>
    <row r="4" spans="1:9" x14ac:dyDescent="0.25">
      <c r="A4" s="5" t="s">
        <v>16</v>
      </c>
    </row>
    <row r="7" spans="1:9" x14ac:dyDescent="0.25">
      <c r="H7" s="6" t="s">
        <v>17</v>
      </c>
      <c r="I7" s="6" t="s">
        <v>18</v>
      </c>
    </row>
    <row r="8" spans="1:9" x14ac:dyDescent="0.25">
      <c r="B8" s="6" t="s">
        <v>19</v>
      </c>
      <c r="C8" s="6" t="s">
        <v>20</v>
      </c>
      <c r="H8" s="5">
        <v>0.35</v>
      </c>
      <c r="I8" s="5">
        <v>50</v>
      </c>
    </row>
    <row r="9" spans="1:9" x14ac:dyDescent="0.25">
      <c r="B9" s="5">
        <v>5</v>
      </c>
      <c r="C9" s="5">
        <v>6</v>
      </c>
      <c r="H9" s="5">
        <f>0.35*1.01</f>
        <v>0.35349999999999998</v>
      </c>
      <c r="I9" s="5">
        <f>I8*(1-0.03)</f>
        <v>48.5</v>
      </c>
    </row>
    <row r="10" spans="1:9" x14ac:dyDescent="0.25">
      <c r="B10" s="5">
        <v>5.05</v>
      </c>
      <c r="C10" s="5">
        <v>5.88</v>
      </c>
    </row>
    <row r="11" spans="1:9" x14ac:dyDescent="0.25">
      <c r="B11" s="6" t="s">
        <v>2</v>
      </c>
      <c r="C11" s="5">
        <v>2</v>
      </c>
      <c r="H11" s="5" t="s">
        <v>4</v>
      </c>
      <c r="I11" s="7" t="s">
        <v>27</v>
      </c>
    </row>
    <row r="13" spans="1:9" x14ac:dyDescent="0.25">
      <c r="C13" s="5" t="s">
        <v>4</v>
      </c>
      <c r="D13" s="7" t="s">
        <v>5</v>
      </c>
    </row>
    <row r="14" spans="1:9" x14ac:dyDescent="0.25">
      <c r="B14" s="6" t="s">
        <v>6</v>
      </c>
      <c r="D14" s="5">
        <v>1.0000000000000002</v>
      </c>
    </row>
    <row r="15" spans="1:9" x14ac:dyDescent="0.25">
      <c r="B15" s="6" t="s">
        <v>1</v>
      </c>
      <c r="D15" s="5">
        <f>-2.4*D14+18</f>
        <v>15.6</v>
      </c>
    </row>
    <row r="16" spans="1:9" x14ac:dyDescent="0.25">
      <c r="B16" s="6" t="s">
        <v>3</v>
      </c>
      <c r="D16" s="5">
        <f>(D14-C11)*D15 + (0.15*D15*50)</f>
        <v>101.4</v>
      </c>
    </row>
    <row r="20" spans="7:8" x14ac:dyDescent="0.25">
      <c r="G20" s="6" t="s">
        <v>24</v>
      </c>
      <c r="H20" s="3">
        <v>0.9404531536666213</v>
      </c>
    </row>
    <row r="21" spans="7:8" x14ac:dyDescent="0.25">
      <c r="G21" s="6" t="s">
        <v>25</v>
      </c>
      <c r="H21" s="3">
        <v>0.33333352018889251</v>
      </c>
    </row>
    <row r="22" spans="7:8" x14ac:dyDescent="0.25">
      <c r="G22" s="6"/>
    </row>
    <row r="23" spans="7:8" x14ac:dyDescent="0.25">
      <c r="G23" s="6" t="s">
        <v>23</v>
      </c>
      <c r="H23" s="5">
        <f>-2.4*H20+18</f>
        <v>15.742912431200109</v>
      </c>
    </row>
    <row r="24" spans="7:8" x14ac:dyDescent="0.25">
      <c r="G24" s="6" t="s">
        <v>26</v>
      </c>
      <c r="H24" s="5">
        <f>(-428.57*H21+200)*H23</f>
        <v>899.60123199030204</v>
      </c>
    </row>
    <row r="25" spans="7:8" x14ac:dyDescent="0.25">
      <c r="G25" s="6"/>
    </row>
    <row r="26" spans="7:8" x14ac:dyDescent="0.25">
      <c r="G26" s="6" t="s">
        <v>21</v>
      </c>
      <c r="H26" s="5">
        <v>2</v>
      </c>
    </row>
    <row r="27" spans="7:8" x14ac:dyDescent="0.25">
      <c r="G27" s="6" t="s">
        <v>22</v>
      </c>
      <c r="H27" s="5">
        <v>0.2</v>
      </c>
    </row>
    <row r="28" spans="7:8" x14ac:dyDescent="0.25">
      <c r="G28" s="6" t="s">
        <v>31</v>
      </c>
      <c r="H28" s="5">
        <f>-428.57*H21+200</f>
        <v>57.143253252646332</v>
      </c>
    </row>
    <row r="29" spans="7:8" x14ac:dyDescent="0.25">
      <c r="G29" s="6" t="s">
        <v>28</v>
      </c>
      <c r="H29" s="5">
        <f>H23*(H20-H26)</f>
        <v>-16.680353218580617</v>
      </c>
    </row>
    <row r="30" spans="7:8" x14ac:dyDescent="0.25">
      <c r="G30" s="6" t="s">
        <v>29</v>
      </c>
      <c r="H30" s="5">
        <f>H24*(H21-H27)</f>
        <v>119.9469990275315</v>
      </c>
    </row>
    <row r="31" spans="7:8" x14ac:dyDescent="0.25">
      <c r="G31" s="6" t="s">
        <v>30</v>
      </c>
      <c r="H31" s="4">
        <f>SUM(H29:H30)</f>
        <v>103.26664580895088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9F59-2AAA-490A-98FE-0E52B8A5FA34}">
  <dimension ref="A1:K15"/>
  <sheetViews>
    <sheetView tabSelected="1" topLeftCell="A3" zoomScale="208" workbookViewId="0">
      <selection activeCell="K15" sqref="K15"/>
    </sheetView>
  </sheetViews>
  <sheetFormatPr defaultRowHeight="15" x14ac:dyDescent="0.25"/>
  <sheetData>
    <row r="1" spans="1:11" x14ac:dyDescent="0.25">
      <c r="A1" t="s">
        <v>32</v>
      </c>
    </row>
    <row r="2" spans="1:11" x14ac:dyDescent="0.25">
      <c r="A2" t="s">
        <v>33</v>
      </c>
    </row>
    <row r="3" spans="1:11" x14ac:dyDescent="0.25">
      <c r="A3" t="s">
        <v>34</v>
      </c>
    </row>
    <row r="5" spans="1:11" x14ac:dyDescent="0.25">
      <c r="C5" s="2" t="s">
        <v>35</v>
      </c>
      <c r="D5" s="2" t="s">
        <v>36</v>
      </c>
      <c r="E5" s="2" t="s">
        <v>37</v>
      </c>
    </row>
    <row r="6" spans="1:11" x14ac:dyDescent="0.25">
      <c r="B6" s="2" t="s">
        <v>38</v>
      </c>
      <c r="C6">
        <v>550</v>
      </c>
      <c r="D6">
        <v>470</v>
      </c>
      <c r="E6">
        <f>SUM(C6:D6)</f>
        <v>1020</v>
      </c>
    </row>
    <row r="8" spans="1:11" x14ac:dyDescent="0.25">
      <c r="C8" s="9" t="s">
        <v>43</v>
      </c>
      <c r="D8" s="9"/>
      <c r="E8" s="9"/>
    </row>
    <row r="9" spans="1:11" ht="45" x14ac:dyDescent="0.25">
      <c r="A9" t="s">
        <v>49</v>
      </c>
      <c r="B9" s="8" t="s">
        <v>42</v>
      </c>
      <c r="C9" s="8" t="s">
        <v>39</v>
      </c>
      <c r="D9" s="8" t="s">
        <v>40</v>
      </c>
      <c r="E9" s="8" t="s">
        <v>41</v>
      </c>
      <c r="F9" s="8" t="s">
        <v>44</v>
      </c>
      <c r="G9" s="8" t="s">
        <v>46</v>
      </c>
      <c r="H9" s="8" t="s">
        <v>45</v>
      </c>
      <c r="I9" s="8" t="s">
        <v>47</v>
      </c>
      <c r="J9" s="2" t="s">
        <v>48</v>
      </c>
      <c r="K9" s="2" t="s">
        <v>3</v>
      </c>
    </row>
    <row r="10" spans="1:11" x14ac:dyDescent="0.25">
      <c r="A10">
        <v>1</v>
      </c>
      <c r="B10" s="2">
        <v>12</v>
      </c>
      <c r="C10">
        <v>1250</v>
      </c>
      <c r="D10">
        <v>1500</v>
      </c>
      <c r="E10">
        <v>2600</v>
      </c>
      <c r="F10">
        <f>C10-C$15</f>
        <v>-199</v>
      </c>
      <c r="G10">
        <f t="shared" ref="G10:H13" si="0">D10-D$15</f>
        <v>301</v>
      </c>
      <c r="H10">
        <f t="shared" si="0"/>
        <v>302</v>
      </c>
      <c r="I10" s="10">
        <f>MAX(F10:H10)</f>
        <v>302</v>
      </c>
      <c r="J10">
        <f>IF(I10&gt;0,MATCH(I10,F10:H10,0),0)</f>
        <v>3</v>
      </c>
      <c r="K10" cm="1">
        <f t="array" ref="K10">IF(J10=0,0,(-INDEX($C$6:$E$6,1,J10)+INDEX($C$15:$E$15,1,J10))*B10)</f>
        <v>15336</v>
      </c>
    </row>
    <row r="11" spans="1:11" x14ac:dyDescent="0.25">
      <c r="A11">
        <v>2</v>
      </c>
      <c r="B11" s="2">
        <v>23</v>
      </c>
      <c r="C11">
        <v>1450</v>
      </c>
      <c r="D11">
        <v>540</v>
      </c>
      <c r="E11">
        <v>1750</v>
      </c>
      <c r="F11">
        <f t="shared" ref="F11:F13" si="1">C11-C$15</f>
        <v>1</v>
      </c>
      <c r="G11">
        <f t="shared" si="0"/>
        <v>-659</v>
      </c>
      <c r="H11">
        <f t="shared" si="0"/>
        <v>-548</v>
      </c>
      <c r="I11" s="10">
        <f t="shared" ref="I11:I13" si="2">MAX(F11:H11)</f>
        <v>1</v>
      </c>
      <c r="J11">
        <f t="shared" ref="J11:J13" si="3">IF(I11&gt;0,MATCH(I11,F11:H11,0),0)</f>
        <v>1</v>
      </c>
      <c r="K11" cm="1">
        <f t="array" ref="K11">IF(J11=0,0,(-INDEX($C$6:$E$6,1,J11)+INDEX($C$15:$E$15,1,J11))*B11)</f>
        <v>20677</v>
      </c>
    </row>
    <row r="12" spans="1:11" x14ac:dyDescent="0.25">
      <c r="A12">
        <v>3</v>
      </c>
      <c r="B12" s="2">
        <v>22</v>
      </c>
      <c r="C12">
        <v>1080</v>
      </c>
      <c r="D12">
        <v>1200</v>
      </c>
      <c r="E12">
        <v>2090</v>
      </c>
      <c r="F12">
        <f t="shared" si="1"/>
        <v>-369</v>
      </c>
      <c r="G12">
        <f t="shared" si="0"/>
        <v>1</v>
      </c>
      <c r="H12">
        <f t="shared" si="0"/>
        <v>-208</v>
      </c>
      <c r="I12" s="10">
        <f t="shared" si="2"/>
        <v>1</v>
      </c>
      <c r="J12">
        <f t="shared" si="3"/>
        <v>2</v>
      </c>
      <c r="K12" cm="1">
        <f t="array" ref="K12">IF(J12=0,0,(-INDEX($C$6:$E$6,1,J12)+INDEX($C$15:$E$15,1,J12))*B12)</f>
        <v>16038</v>
      </c>
    </row>
    <row r="13" spans="1:11" x14ac:dyDescent="0.25">
      <c r="A13">
        <v>4</v>
      </c>
      <c r="B13" s="2">
        <v>43</v>
      </c>
      <c r="C13">
        <v>1390</v>
      </c>
      <c r="D13">
        <v>1100</v>
      </c>
      <c r="E13">
        <v>2350</v>
      </c>
      <c r="F13">
        <f t="shared" si="1"/>
        <v>-59</v>
      </c>
      <c r="G13">
        <f t="shared" si="0"/>
        <v>-99</v>
      </c>
      <c r="H13">
        <f t="shared" si="0"/>
        <v>52</v>
      </c>
      <c r="I13" s="10">
        <f t="shared" si="2"/>
        <v>52</v>
      </c>
      <c r="J13">
        <f t="shared" si="3"/>
        <v>3</v>
      </c>
      <c r="K13" cm="1">
        <f t="array" ref="K13">IF(J13=0,0,(-INDEX($C$6:$E$6,1,J13)+INDEX($C$15:$E$15,1,J13))*B13)</f>
        <v>54954</v>
      </c>
    </row>
    <row r="15" spans="1:11" x14ac:dyDescent="0.25">
      <c r="A15" t="s">
        <v>0</v>
      </c>
      <c r="C15" s="3">
        <v>1449</v>
      </c>
      <c r="D15" s="3">
        <v>1199</v>
      </c>
      <c r="E15" s="3">
        <v>2298</v>
      </c>
      <c r="K15" s="4">
        <f>SUM(K10:K13) - 10000*(IF(OR(C15&gt;E15,D15&gt;E15),1,0))</f>
        <v>107005</v>
      </c>
    </row>
  </sheetData>
  <mergeCells count="1">
    <mergeCell ref="C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Razor_No Blades</vt:lpstr>
      <vt:lpstr>Razor_WBlades</vt:lpstr>
      <vt:lpstr>Razor_WBlades (2)</vt:lpstr>
      <vt:lpstr>Razor_Elasticity</vt:lpstr>
      <vt:lpstr>German 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SINGH</dc:creator>
  <cp:lastModifiedBy>Pritika Paul</cp:lastModifiedBy>
  <dcterms:created xsi:type="dcterms:W3CDTF">2025-10-21T07:08:13Z</dcterms:created>
  <dcterms:modified xsi:type="dcterms:W3CDTF">2025-11-03T08:28:35Z</dcterms:modified>
</cp:coreProperties>
</file>