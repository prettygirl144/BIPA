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m V\BIPA\"/>
    </mc:Choice>
  </mc:AlternateContent>
  <xr:revisionPtr revIDLastSave="0" documentId="13_ncr:1_{4AFF09FD-CEA7-401A-BBCB-FA7EE164C6C1}" xr6:coauthVersionLast="47" xr6:coauthVersionMax="47" xr10:uidLastSave="{00000000-0000-0000-0000-000000000000}"/>
  <bookViews>
    <workbookView xWindow="0" yWindow="0" windowWidth="14400" windowHeight="15600" activeTab="1" xr2:uid="{52DB7498-5B05-4DA4-B526-3A69A4BB94B6}"/>
  </bookViews>
  <sheets>
    <sheet name="Golf_TPT" sheetId="1" r:id="rId1"/>
    <sheet name="Sheet2" sheetId="2" r:id="rId2"/>
  </sheets>
  <definedNames>
    <definedName name="solver_adj" localSheetId="1" hidden="1">Sheet2!$B$3:$B$4</definedName>
    <definedName name="solver_cvg" localSheetId="1" hidden="1">0.0001</definedName>
    <definedName name="solver_drv" localSheetId="1" hidden="1">1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Sheet2!$B$3:$B$4</definedName>
    <definedName name="solver_lhs2" localSheetId="1" hidden="1">Sheet2!$B$3:$B$4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Sheet2!$K$13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hs1" localSheetId="1" hidden="1">100</definedName>
    <definedName name="solver_rhs2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2" l="1"/>
  <c r="K10" i="2"/>
  <c r="C8" i="2"/>
  <c r="M8" i="2" s="1"/>
  <c r="C4" i="2"/>
  <c r="M4" i="2" s="1"/>
  <c r="C3" i="2"/>
  <c r="L3" i="2" s="1"/>
  <c r="C5" i="2"/>
  <c r="L5" i="2" s="1"/>
  <c r="C6" i="2"/>
  <c r="K6" i="2" s="1"/>
  <c r="C7" i="2"/>
  <c r="M7" i="2" s="1"/>
  <c r="J5" i="2"/>
  <c r="J6" i="2" s="1"/>
  <c r="J7" i="2" s="1"/>
  <c r="J8" i="2" s="1"/>
  <c r="J4" i="2"/>
  <c r="J3" i="2"/>
  <c r="I5" i="2"/>
  <c r="I6" i="2" s="1"/>
  <c r="I7" i="2" s="1"/>
  <c r="I8" i="2" s="1"/>
  <c r="I4" i="2"/>
  <c r="I3" i="2"/>
  <c r="H5" i="2"/>
  <c r="H6" i="2" s="1"/>
  <c r="H7" i="2" s="1"/>
  <c r="H8" i="2" s="1"/>
  <c r="H4" i="2"/>
  <c r="H3" i="2"/>
  <c r="G18" i="1"/>
  <c r="G17" i="1"/>
  <c r="G16" i="1"/>
  <c r="G15" i="1"/>
  <c r="G14" i="1"/>
  <c r="H9" i="1"/>
  <c r="H8" i="1"/>
  <c r="H13" i="1"/>
  <c r="I14" i="1"/>
  <c r="I15" i="1"/>
  <c r="I16" i="1"/>
  <c r="I17" i="1"/>
  <c r="I18" i="1"/>
  <c r="I13" i="1"/>
  <c r="K3" i="2" l="1"/>
  <c r="M3" i="2"/>
  <c r="K4" i="2"/>
  <c r="M5" i="2"/>
  <c r="L8" i="2"/>
  <c r="L4" i="2"/>
  <c r="K7" i="2"/>
  <c r="L7" i="2"/>
  <c r="L6" i="2"/>
  <c r="K5" i="2"/>
  <c r="M6" i="2"/>
  <c r="K8" i="2"/>
  <c r="H14" i="1"/>
  <c r="H15" i="1" s="1"/>
  <c r="H16" i="1" s="1"/>
  <c r="H17" i="1" s="1"/>
  <c r="H18" i="1" s="1"/>
  <c r="M9" i="2" l="1"/>
  <c r="M10" i="2" s="1"/>
  <c r="M11" i="2" s="1"/>
  <c r="L10" i="2"/>
  <c r="L11" i="2" s="1"/>
  <c r="K9" i="2"/>
  <c r="K11" i="2" s="1"/>
  <c r="K12" i="2" l="1"/>
  <c r="K13" i="2" s="1"/>
</calcChain>
</file>

<file path=xl/sharedStrings.xml><?xml version="1.0" encoding="utf-8"?>
<sst xmlns="http://schemas.openxmlformats.org/spreadsheetml/2006/main" count="44" uniqueCount="32">
  <si>
    <t>Round</t>
  </si>
  <si>
    <t>Segment 1</t>
  </si>
  <si>
    <t>Segment 2</t>
  </si>
  <si>
    <t>Segment 3</t>
  </si>
  <si>
    <t>VC</t>
  </si>
  <si>
    <t xml:space="preserve">Fixed </t>
  </si>
  <si>
    <t>Var</t>
  </si>
  <si>
    <t>Units bought</t>
  </si>
  <si>
    <t>Revenue</t>
  </si>
  <si>
    <t>Prod Cot</t>
  </si>
  <si>
    <t>Max Surplus</t>
  </si>
  <si>
    <t>Mid point</t>
  </si>
  <si>
    <t>Unit</t>
  </si>
  <si>
    <t>Value</t>
  </si>
  <si>
    <t>Cum. Value</t>
  </si>
  <si>
    <t>Price Paid</t>
  </si>
  <si>
    <t>Surplus</t>
  </si>
  <si>
    <t>Profit</t>
  </si>
  <si>
    <t>Max</t>
  </si>
  <si>
    <t>Min</t>
  </si>
  <si>
    <t>Unit Price</t>
  </si>
  <si>
    <t>Unit Cost to Company</t>
  </si>
  <si>
    <t>Fixed Price</t>
  </si>
  <si>
    <t>Game Units</t>
  </si>
  <si>
    <t>Type1</t>
  </si>
  <si>
    <t>Type 2</t>
  </si>
  <si>
    <t>Type 3</t>
  </si>
  <si>
    <t>Cum Value</t>
  </si>
  <si>
    <t>Price to Pay</t>
  </si>
  <si>
    <t>Games Played</t>
  </si>
  <si>
    <t>Cost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</si>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</sst>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\ * #,##0.00_);_(&quot;₹&quot;\ * \(#,##0.00\);_(&quot;₹&quot;\ * &quot;-&quot;??_);_(@_)"/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164" fontId="4" fillId="0" borderId="0" xfId="0" applyNumberFormat="1" applyFont="1"/>
    <xf numFmtId="0" fontId="4" fillId="0" borderId="0" xfId="0" applyFont="1"/>
    <xf numFmtId="44" fontId="4" fillId="0" borderId="0" xfId="1" applyFont="1"/>
    <xf numFmtId="164" fontId="4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5F65-4E18-4E4E-8B7B-0F380A6D6871}">
  <dimension ref="A1:L18"/>
  <sheetViews>
    <sheetView workbookViewId="0">
      <selection activeCell="B2" sqref="B2:D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H1" t="s">
        <v>7</v>
      </c>
    </row>
    <row r="2" spans="1:12" x14ac:dyDescent="0.25">
      <c r="A2">
        <v>1</v>
      </c>
      <c r="B2">
        <v>60</v>
      </c>
      <c r="C2">
        <v>60</v>
      </c>
      <c r="D2">
        <v>40</v>
      </c>
      <c r="F2" s="2"/>
      <c r="G2" t="s">
        <v>5</v>
      </c>
      <c r="H2" t="s">
        <v>8</v>
      </c>
    </row>
    <row r="3" spans="1:12" x14ac:dyDescent="0.25">
      <c r="A3">
        <v>2</v>
      </c>
      <c r="B3">
        <v>50</v>
      </c>
      <c r="C3">
        <v>45</v>
      </c>
      <c r="D3">
        <v>30</v>
      </c>
      <c r="F3">
        <v>5</v>
      </c>
      <c r="G3" t="s">
        <v>6</v>
      </c>
      <c r="H3" t="s">
        <v>9</v>
      </c>
    </row>
    <row r="4" spans="1:12" x14ac:dyDescent="0.25">
      <c r="A4">
        <v>3</v>
      </c>
      <c r="B4">
        <v>40</v>
      </c>
      <c r="C4">
        <v>30</v>
      </c>
      <c r="D4">
        <v>20</v>
      </c>
    </row>
    <row r="5" spans="1:12" x14ac:dyDescent="0.25">
      <c r="A5">
        <v>4</v>
      </c>
      <c r="B5">
        <v>30</v>
      </c>
      <c r="C5">
        <v>15</v>
      </c>
      <c r="D5">
        <v>10</v>
      </c>
      <c r="G5" t="s">
        <v>10</v>
      </c>
    </row>
    <row r="6" spans="1:12" x14ac:dyDescent="0.25">
      <c r="A6">
        <v>5</v>
      </c>
      <c r="B6">
        <v>20</v>
      </c>
      <c r="C6">
        <v>0</v>
      </c>
      <c r="D6">
        <v>0</v>
      </c>
    </row>
    <row r="7" spans="1:12" x14ac:dyDescent="0.25">
      <c r="A7">
        <v>6</v>
      </c>
      <c r="B7">
        <v>10</v>
      </c>
      <c r="C7">
        <v>0</v>
      </c>
      <c r="D7">
        <v>0</v>
      </c>
    </row>
    <row r="8" spans="1:12" x14ac:dyDescent="0.25">
      <c r="G8" t="s">
        <v>18</v>
      </c>
      <c r="H8">
        <f>MAX(B2:D7)</f>
        <v>60</v>
      </c>
    </row>
    <row r="9" spans="1:12" x14ac:dyDescent="0.25">
      <c r="B9" s="1" t="s">
        <v>4</v>
      </c>
      <c r="C9">
        <v>5</v>
      </c>
      <c r="G9" t="s">
        <v>19</v>
      </c>
      <c r="H9">
        <f>MIN(B2:D7)</f>
        <v>0</v>
      </c>
    </row>
    <row r="11" spans="1:12" x14ac:dyDescent="0.25">
      <c r="E11" t="s">
        <v>1</v>
      </c>
    </row>
    <row r="12" spans="1:12" x14ac:dyDescent="0.25"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/>
      <c r="L12" s="1" t="s">
        <v>17</v>
      </c>
    </row>
    <row r="13" spans="1:12" x14ac:dyDescent="0.25">
      <c r="E13">
        <v>0.5</v>
      </c>
      <c r="F13">
        <v>1</v>
      </c>
      <c r="G13">
        <v>60</v>
      </c>
      <c r="H13">
        <f>G13</f>
        <v>60</v>
      </c>
      <c r="I13">
        <f>$F$2+F13*$F$3</f>
        <v>5</v>
      </c>
    </row>
    <row r="14" spans="1:12" x14ac:dyDescent="0.25">
      <c r="E14">
        <v>1.5</v>
      </c>
      <c r="F14">
        <v>2</v>
      </c>
      <c r="G14">
        <f>50</f>
        <v>50</v>
      </c>
      <c r="H14">
        <f>H13+G14</f>
        <v>110</v>
      </c>
      <c r="I14">
        <f t="shared" ref="I14:I18" si="0">$F$2+F14*$F$3</f>
        <v>10</v>
      </c>
    </row>
    <row r="15" spans="1:12" x14ac:dyDescent="0.25">
      <c r="E15">
        <v>2.5</v>
      </c>
      <c r="F15">
        <v>3</v>
      </c>
      <c r="G15">
        <f>40</f>
        <v>40</v>
      </c>
      <c r="H15">
        <f t="shared" ref="H15:H18" si="1">H14+G15</f>
        <v>150</v>
      </c>
      <c r="I15">
        <f t="shared" si="0"/>
        <v>15</v>
      </c>
    </row>
    <row r="16" spans="1:12" x14ac:dyDescent="0.25">
      <c r="E16">
        <v>3.5</v>
      </c>
      <c r="F16">
        <v>4</v>
      </c>
      <c r="G16">
        <f>30</f>
        <v>30</v>
      </c>
      <c r="H16">
        <f t="shared" si="1"/>
        <v>180</v>
      </c>
      <c r="I16">
        <f t="shared" si="0"/>
        <v>20</v>
      </c>
    </row>
    <row r="17" spans="5:9" x14ac:dyDescent="0.25">
      <c r="E17">
        <v>4.5</v>
      </c>
      <c r="F17">
        <v>5</v>
      </c>
      <c r="G17">
        <f>20</f>
        <v>20</v>
      </c>
      <c r="H17">
        <f t="shared" si="1"/>
        <v>200</v>
      </c>
      <c r="I17">
        <f t="shared" si="0"/>
        <v>25</v>
      </c>
    </row>
    <row r="18" spans="5:9" x14ac:dyDescent="0.25">
      <c r="E18">
        <v>5.5</v>
      </c>
      <c r="F18">
        <v>6</v>
      </c>
      <c r="G18">
        <f>10</f>
        <v>10</v>
      </c>
      <c r="H18">
        <f t="shared" si="1"/>
        <v>210</v>
      </c>
      <c r="I18">
        <f t="shared" si="0"/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E977-82B0-4ED0-89F1-E59D4937B23D}">
  <dimension ref="A1:P13"/>
  <sheetViews>
    <sheetView tabSelected="1" workbookViewId="0">
      <selection activeCell="L10" sqref="L10"/>
    </sheetView>
  </sheetViews>
  <sheetFormatPr defaultRowHeight="15" x14ac:dyDescent="0.25"/>
  <sheetData>
    <row r="1" spans="1:16" x14ac:dyDescent="0.25">
      <c r="E1" t="s">
        <v>13</v>
      </c>
      <c r="H1" t="s">
        <v>27</v>
      </c>
      <c r="K1" t="s">
        <v>16</v>
      </c>
    </row>
    <row r="2" spans="1:16" x14ac:dyDescent="0.25">
      <c r="C2" t="s">
        <v>28</v>
      </c>
      <c r="D2" t="s">
        <v>23</v>
      </c>
      <c r="E2" s="3" t="s">
        <v>24</v>
      </c>
      <c r="F2" s="3" t="s">
        <v>25</v>
      </c>
      <c r="G2" s="3" t="s">
        <v>26</v>
      </c>
      <c r="H2" t="s">
        <v>24</v>
      </c>
      <c r="I2" t="s">
        <v>25</v>
      </c>
      <c r="J2" t="s">
        <v>26</v>
      </c>
      <c r="K2" t="s">
        <v>24</v>
      </c>
      <c r="L2" t="s">
        <v>25</v>
      </c>
      <c r="M2" t="s">
        <v>26</v>
      </c>
    </row>
    <row r="3" spans="1:16" x14ac:dyDescent="0.25">
      <c r="A3" t="s">
        <v>22</v>
      </c>
      <c r="B3" s="2">
        <v>75.001707144759479</v>
      </c>
      <c r="C3">
        <f>$B$3+$B$4*D3</f>
        <v>95.001013403394154</v>
      </c>
      <c r="D3">
        <v>1</v>
      </c>
      <c r="E3" s="3">
        <v>60</v>
      </c>
      <c r="F3" s="3">
        <v>60</v>
      </c>
      <c r="G3" s="3">
        <v>40</v>
      </c>
      <c r="H3">
        <f>E3</f>
        <v>60</v>
      </c>
      <c r="I3">
        <f>F3</f>
        <v>60</v>
      </c>
      <c r="J3">
        <f>G3</f>
        <v>40</v>
      </c>
      <c r="K3" s="5">
        <f t="shared" ref="K3:M8" si="0">H3-$C3</f>
        <v>-35.001013403394154</v>
      </c>
      <c r="L3" s="5">
        <f t="shared" si="0"/>
        <v>-35.001013403394154</v>
      </c>
      <c r="M3" s="5">
        <f t="shared" si="0"/>
        <v>-55.001013403394154</v>
      </c>
    </row>
    <row r="4" spans="1:16" x14ac:dyDescent="0.25">
      <c r="A4" t="s">
        <v>20</v>
      </c>
      <c r="B4" s="2">
        <v>19.999306258634672</v>
      </c>
      <c r="C4">
        <f>$B$3+$B$4*D4</f>
        <v>115.00031966202883</v>
      </c>
      <c r="D4">
        <v>2</v>
      </c>
      <c r="E4" s="3">
        <v>50</v>
      </c>
      <c r="F4" s="3">
        <v>45</v>
      </c>
      <c r="G4" s="3">
        <v>30</v>
      </c>
      <c r="H4">
        <f>H3+E4</f>
        <v>110</v>
      </c>
      <c r="I4">
        <f>I3+F4</f>
        <v>105</v>
      </c>
      <c r="J4">
        <f>J3+G4</f>
        <v>70</v>
      </c>
      <c r="K4" s="5">
        <f t="shared" si="0"/>
        <v>-5.0003196620288293</v>
      </c>
      <c r="L4" s="5">
        <f t="shared" si="0"/>
        <v>-10.000319662028829</v>
      </c>
      <c r="M4" s="5">
        <f t="shared" si="0"/>
        <v>-45.000319662028829</v>
      </c>
      <c r="P4" s="4" t="s">
        <v>31</v>
      </c>
    </row>
    <row r="5" spans="1:16" x14ac:dyDescent="0.25">
      <c r="A5" t="s">
        <v>21</v>
      </c>
      <c r="B5" s="3">
        <v>5</v>
      </c>
      <c r="C5">
        <f>$B$3+$B$4*D5</f>
        <v>134.9996259206635</v>
      </c>
      <c r="D5">
        <v>3</v>
      </c>
      <c r="E5" s="3">
        <v>40</v>
      </c>
      <c r="F5" s="3">
        <v>30</v>
      </c>
      <c r="G5" s="3">
        <v>20</v>
      </c>
      <c r="H5">
        <f t="shared" ref="H5:H8" si="1">H4+E5</f>
        <v>150</v>
      </c>
      <c r="I5">
        <f t="shared" ref="I5:I8" si="2">I4+F5</f>
        <v>135</v>
      </c>
      <c r="J5">
        <f t="shared" ref="J5:J8" si="3">J4+G5</f>
        <v>90</v>
      </c>
      <c r="K5" s="5">
        <f t="shared" si="0"/>
        <v>15.000374079336495</v>
      </c>
      <c r="L5" s="5">
        <f t="shared" si="0"/>
        <v>3.7407933649546976E-4</v>
      </c>
      <c r="M5" s="5">
        <f t="shared" si="0"/>
        <v>-44.999625920663505</v>
      </c>
    </row>
    <row r="6" spans="1:16" x14ac:dyDescent="0.25">
      <c r="C6">
        <f>$B$3+$B$4*D6</f>
        <v>154.99893217929815</v>
      </c>
      <c r="D6">
        <v>4</v>
      </c>
      <c r="E6" s="3">
        <v>30</v>
      </c>
      <c r="F6" s="3">
        <v>15</v>
      </c>
      <c r="G6" s="3">
        <v>10</v>
      </c>
      <c r="H6">
        <f t="shared" si="1"/>
        <v>180</v>
      </c>
      <c r="I6">
        <f t="shared" si="2"/>
        <v>150</v>
      </c>
      <c r="J6">
        <f t="shared" si="3"/>
        <v>100</v>
      </c>
      <c r="K6" s="5">
        <f t="shared" si="0"/>
        <v>25.001067820701849</v>
      </c>
      <c r="L6" s="5">
        <f t="shared" si="0"/>
        <v>-4.9989321792981514</v>
      </c>
      <c r="M6" s="5">
        <f t="shared" si="0"/>
        <v>-54.998932179298151</v>
      </c>
    </row>
    <row r="7" spans="1:16" x14ac:dyDescent="0.25">
      <c r="C7">
        <f t="shared" ref="C7" si="4">$B$3+$B$4*D7</f>
        <v>174.99823843793286</v>
      </c>
      <c r="D7">
        <v>5</v>
      </c>
      <c r="E7" s="3">
        <v>20</v>
      </c>
      <c r="F7" s="3">
        <v>0</v>
      </c>
      <c r="G7" s="3">
        <v>0</v>
      </c>
      <c r="H7">
        <f t="shared" si="1"/>
        <v>200</v>
      </c>
      <c r="I7">
        <f t="shared" si="2"/>
        <v>150</v>
      </c>
      <c r="J7">
        <f t="shared" si="3"/>
        <v>100</v>
      </c>
      <c r="K7" s="5">
        <f t="shared" si="0"/>
        <v>25.001761562067145</v>
      </c>
      <c r="L7" s="5">
        <f t="shared" si="0"/>
        <v>-24.998238437932855</v>
      </c>
      <c r="M7" s="5">
        <f t="shared" si="0"/>
        <v>-74.998238437932855</v>
      </c>
    </row>
    <row r="8" spans="1:16" x14ac:dyDescent="0.25">
      <c r="C8">
        <f>$B$3+$B$4*D8</f>
        <v>194.9975446965675</v>
      </c>
      <c r="D8">
        <v>6</v>
      </c>
      <c r="E8" s="3">
        <v>10</v>
      </c>
      <c r="F8" s="3">
        <v>0</v>
      </c>
      <c r="G8" s="3">
        <v>0</v>
      </c>
      <c r="H8">
        <f t="shared" si="1"/>
        <v>210</v>
      </c>
      <c r="I8">
        <f t="shared" si="2"/>
        <v>150</v>
      </c>
      <c r="J8">
        <f t="shared" si="3"/>
        <v>100</v>
      </c>
      <c r="K8" s="5">
        <f t="shared" si="0"/>
        <v>15.002455303432498</v>
      </c>
      <c r="L8" s="5">
        <f t="shared" si="0"/>
        <v>-44.997544696567502</v>
      </c>
      <c r="M8" s="5">
        <f t="shared" si="0"/>
        <v>-94.997544696567502</v>
      </c>
    </row>
    <row r="9" spans="1:16" x14ac:dyDescent="0.25">
      <c r="J9" t="s">
        <v>10</v>
      </c>
      <c r="K9" s="5">
        <f>MAX(K3:K8)</f>
        <v>25.001761562067145</v>
      </c>
      <c r="L9" s="5">
        <f>MAX(L3:L8)</f>
        <v>3.7407933649546976E-4</v>
      </c>
      <c r="M9" s="5">
        <f>MAX(M3:M8)</f>
        <v>-44.999625920663505</v>
      </c>
    </row>
    <row r="10" spans="1:16" x14ac:dyDescent="0.25">
      <c r="J10" t="s">
        <v>29</v>
      </c>
      <c r="K10" s="6">
        <f>IF(K9&lt;0,0,MATCH(K9,K3:K8,0))</f>
        <v>5</v>
      </c>
      <c r="L10" s="6">
        <f>IF(L9&lt;0,0,MATCH(L9,L3:L8,0))</f>
        <v>3</v>
      </c>
      <c r="M10" s="6">
        <f>IF(M9&lt;0,0,MATCH(M9,M3:M8,0))</f>
        <v>0</v>
      </c>
    </row>
    <row r="11" spans="1:16" x14ac:dyDescent="0.25">
      <c r="J11" t="s">
        <v>8</v>
      </c>
      <c r="K11" s="5">
        <f>IF(K10&lt;=0,0,K10*$B$4+$B$3)</f>
        <v>174.99823843793286</v>
      </c>
      <c r="L11" s="5">
        <f>IF(L10&lt;=0,0,L10*$B$4+$B$3)</f>
        <v>134.9996259206635</v>
      </c>
      <c r="M11" s="5">
        <f>IF(M10&lt;=0,0,M10*$B$4+$B$3)</f>
        <v>0</v>
      </c>
    </row>
    <row r="12" spans="1:16" x14ac:dyDescent="0.25">
      <c r="J12" t="s">
        <v>30</v>
      </c>
      <c r="K12" s="7">
        <f>$B$5*SUM(K10:M10)</f>
        <v>40</v>
      </c>
      <c r="L12" s="6"/>
      <c r="M12" s="6"/>
    </row>
    <row r="13" spans="1:16" x14ac:dyDescent="0.25">
      <c r="J13" t="s">
        <v>17</v>
      </c>
      <c r="K13" s="8">
        <f>SUM(K11:M11)-K12</f>
        <v>269.99786435859636</v>
      </c>
      <c r="L13" s="6"/>
      <c r="M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Golf_TPT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Pritika Paul</dc:creator>
  <cp:lastModifiedBy>Pritika Paul</cp:lastModifiedBy>
  <dcterms:created xsi:type="dcterms:W3CDTF">2025-11-10T07:27:19Z</dcterms:created>
  <dcterms:modified xsi:type="dcterms:W3CDTF">2025-11-11T07:08:23Z</dcterms:modified>
</cp:coreProperties>
</file>